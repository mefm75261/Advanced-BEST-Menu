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strenaterminals.sharepoint.com/sites/OperationalExcellence/Shared Documents/Operations Excellence/12. Problem Solving/DRAFT/ENG/"/>
    </mc:Choice>
  </mc:AlternateContent>
  <xr:revisionPtr revIDLastSave="698" documentId="13_ncr:1_{D6594007-DE2A-4500-B5AC-8F4DF9EBE041}" xr6:coauthVersionLast="47" xr6:coauthVersionMax="47" xr10:uidLastSave="{E5DFF824-C9B5-4646-901F-D705366D558F}"/>
  <bookViews>
    <workbookView xWindow="-110" yWindow="-110" windowWidth="19420" windowHeight="10300" firstSheet="1" xr2:uid="{2BB8CBE4-B24E-4E95-8EAF-E1B13B7B0E34}"/>
  </bookViews>
  <sheets>
    <sheet name="PROBLEM STATEMENT" sheetId="14" r:id="rId1"/>
    <sheet name="CAUSE - EFFECT" sheetId="11" r:id="rId2"/>
    <sheet name="MULTI-VOTING MATRIX" sheetId="13" r:id="rId3"/>
    <sheet name="5 WHYS" sheetId="8" r:id="rId4"/>
    <sheet name="COUNTERMEASURES" sheetId="9" r:id="rId5"/>
    <sheet name="Hoja1" sheetId="15" state="hidden" r:id="rId6"/>
    <sheet name="DATOS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3" l="1" a="1"/>
  <c r="N5" i="13" s="1"/>
  <c r="N14" i="13" a="1"/>
  <c r="N14" i="13" s="1"/>
  <c r="N13" i="13" a="1"/>
  <c r="N13" i="13" s="1"/>
  <c r="BT9" i="8" s="1"/>
  <c r="N12" i="13" a="1"/>
  <c r="N12" i="13" s="1"/>
  <c r="BL9" i="8" s="1"/>
  <c r="N11" i="13" a="1"/>
  <c r="N11" i="13" s="1"/>
  <c r="BD9" i="8" s="1"/>
  <c r="N10" i="13" a="1"/>
  <c r="N10" i="13" s="1"/>
  <c r="N9" i="13" a="1"/>
  <c r="N9" i="13" s="1"/>
  <c r="AN9" i="8" s="1"/>
  <c r="N8" i="13" a="1"/>
  <c r="N8" i="13" s="1"/>
  <c r="AF9" i="8" s="1"/>
  <c r="N7" i="13" a="1"/>
  <c r="N7" i="13" s="1"/>
  <c r="X9" i="8" s="1"/>
  <c r="N6" i="13" a="1"/>
  <c r="N6" i="13" s="1"/>
  <c r="P9" i="8" s="1"/>
  <c r="F14" i="13"/>
  <c r="F13" i="13"/>
  <c r="F12" i="13"/>
  <c r="F11" i="13"/>
  <c r="F10" i="13"/>
  <c r="F9" i="13"/>
  <c r="F8" i="13"/>
  <c r="F7" i="13"/>
  <c r="F6" i="13"/>
  <c r="F5" i="13"/>
  <c r="K10" i="13"/>
  <c r="K11" i="13"/>
  <c r="K12" i="13"/>
  <c r="K13" i="13"/>
  <c r="K14" i="13"/>
  <c r="O17" i="11"/>
  <c r="K9" i="13"/>
  <c r="K8" i="13"/>
  <c r="K7" i="13"/>
  <c r="K6" i="13"/>
  <c r="K5" i="13"/>
  <c r="CB9" i="8" l="1"/>
  <c r="AV9" i="8"/>
  <c r="H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Adrian Sanchez Nevarez</author>
  </authors>
  <commentList>
    <comment ref="B17" authorId="0" shapeId="0" xr:uid="{90A622A1-FE13-4DC6-B3AD-0788A7788A71}">
      <text>
        <r>
          <rPr>
            <sz val="14"/>
            <color indexed="81"/>
            <rFont val="Tahoma"/>
            <family val="2"/>
          </rPr>
          <t xml:space="preserve">
Specific period of time. Describes how the problem has evolved over time.
Examples:
From 2021 to 2026
From January to June
From the day shift to the night shift
Helps determine whether the issue is isolated or recurring.</t>
        </r>
      </text>
    </comment>
    <comment ref="B19" authorId="0" shapeId="0" xr:uid="{84D30914-56EB-41FE-B614-3B265B6D74FE}">
      <text>
        <r>
          <rPr>
            <sz val="14"/>
            <color indexed="81"/>
            <rFont val="Tahoma"/>
            <family val="2"/>
          </rPr>
          <t xml:space="preserve">
It is the specific process where the problem occurs.
Examples:
During beam dispatch
During unit washing
During rebar loading
During preventive maintenance
It should be specific to avoid ambiguity.
</t>
        </r>
      </text>
    </comment>
    <comment ref="B21" authorId="0" shapeId="0" xr:uid="{76077913-E3E9-4911-A22E-D960299D5DBA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the actual result (at the time the problem is identified).
Examples:
GMPH is 13 boxes
2 accidents occurred
An 80% compliance rate is being reported
It must be objective and verifiable.</t>
        </r>
      </text>
    </comment>
    <comment ref="B23" authorId="0" shapeId="0" xr:uid="{F22081C5-8A73-4D76-BD57-208D0363081F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the target or expected standard that should be achieved.
Examples:
The corporate target is 15 boxes.
The goal is 0 overdue findings.
The standard is 5 minutes per cycle.
It may be an internal target, benchmark, or operational standard.</t>
        </r>
      </text>
    </comment>
    <comment ref="B25" authorId="0" shapeId="0" xr:uid="{9C3E1E87-FEB6-4C35-A580-8E947B0D1452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the difference between the current situation and the desired situation.</t>
        </r>
      </text>
    </comment>
    <comment ref="B27" authorId="0" shapeId="0" xr:uid="{077E0294-9947-4FD2-80C7-36710A59CDBF}">
      <text>
        <r>
          <rPr>
            <sz val="14"/>
            <color indexed="81"/>
            <rFont val="Tahoma"/>
            <family val="2"/>
          </rPr>
          <t xml:space="preserve">
These are the visible consequences of the problem. They are not causes.
Examples:
Operational delays
Shipping line complaints
Additional costs
They help justify why it is important to resolve the problem.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Adrian Sanchez Nevarez</author>
  </authors>
  <commentList>
    <comment ref="C3" authorId="0" shapeId="0" xr:uid="{F73A5EBC-8E40-4542-AF1F-50C74711388B}">
      <text>
        <r>
          <rPr>
            <sz val="14"/>
            <color indexed="81"/>
            <rFont val="Tahoma"/>
            <family val="2"/>
          </rPr>
          <t xml:space="preserve">
Factors related to people. These may include behavior, skills, staffing levels, workforce availability, and other personnel-related aspects.</t>
        </r>
      </text>
    </comment>
    <comment ref="G3" authorId="0" shapeId="0" xr:uid="{3E3E7C2A-DD3B-4917-9BFE-2C54AFE72AAD}">
      <text>
        <r>
          <rPr>
            <sz val="14"/>
            <color indexed="81"/>
            <rFont val="Tahoma"/>
            <family val="2"/>
          </rPr>
          <t>Factors related to equipment or tools. These include aspects such as breakdowns, availability, configuration, age, and other equipment-related conditions that may influence the problem.</t>
        </r>
      </text>
    </comment>
    <comment ref="K3" authorId="0" shapeId="0" xr:uid="{800F3ADD-B64A-4266-8720-712074AD8CFC}">
      <text>
        <r>
          <rPr>
            <sz val="14"/>
            <color indexed="81"/>
            <rFont val="Tahoma"/>
            <family val="2"/>
          </rPr>
          <t>Factors related to the environment or external conditions. These may include weather, lighting, workspace conditions, infrastructure, and other environmental factors that can influence the problem.</t>
        </r>
      </text>
    </comment>
    <comment ref="C46" authorId="0" shapeId="0" xr:uid="{DF482C95-6F3F-4758-993F-0EDD8262A6E9}">
      <text>
        <r>
          <rPr>
            <sz val="14"/>
            <color indexed="81"/>
            <rFont val="Tahoma"/>
            <family val="2"/>
          </rPr>
          <t xml:space="preserve">
Factors related to materials, supplies, or cargo. These may include issues such as material quality, damage, availability, and other material-related conditions that can influence the problem.
</t>
        </r>
      </text>
    </comment>
    <comment ref="G46" authorId="0" shapeId="0" xr:uid="{EAED8C99-D351-4B12-8FC7-8EF71506E624}">
      <text>
        <r>
          <rPr>
            <sz val="14"/>
            <color indexed="81"/>
            <rFont val="Tahoma"/>
            <family val="2"/>
          </rPr>
          <t xml:space="preserve">
Factors related to the process or way of working. These may include procedures, work instructions, planning, standards, and other process-related aspects that can influence the problem.</t>
        </r>
      </text>
    </comment>
    <comment ref="K46" authorId="0" shapeId="0" xr:uid="{564CE2E8-F562-4B32-8499-D261421971B6}">
      <text>
        <r>
          <rPr>
            <sz val="14"/>
            <color indexed="81"/>
            <rFont val="Tahoma"/>
            <family val="2"/>
          </rPr>
          <t>Factors related to data and measurement. These may include indicators, measurement frequency, measuring instruments, evaluation criteria, monitoring, and other measurement-related aspects that can influence the problem.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<sst xmlns="http://schemas.openxmlformats.org/spreadsheetml/2006/main" count="279" uniqueCount="51">
  <si>
    <t>SYMPTOMS</t>
  </si>
  <si>
    <t>SYMPTOMS EXAMPLE</t>
  </si>
  <si>
    <t>Extra costs due to additional work crews</t>
  </si>
  <si>
    <t>Vessels waiting to berth</t>
  </si>
  <si>
    <t>PROBLEM STATEMENT</t>
  </si>
  <si>
    <t>PROBLEM STATEMENT EXAMPLE</t>
  </si>
  <si>
    <t>Documentar</t>
  </si>
  <si>
    <r>
      <rPr>
        <b/>
        <sz val="20"/>
        <color theme="5"/>
        <rFont val="Aptos Narrow"/>
        <family val="2"/>
        <scheme val="minor"/>
      </rPr>
      <t>from June to August,</t>
    </r>
    <r>
      <rPr>
        <b/>
        <sz val="20"/>
        <color theme="1"/>
        <rFont val="Aptos Narrow"/>
        <family val="2"/>
        <scheme val="minor"/>
      </rPr>
      <t xml:space="preserve"> during  </t>
    </r>
    <r>
      <rPr>
        <b/>
        <sz val="20"/>
        <color theme="8"/>
        <rFont val="Aptos Narrow"/>
        <family val="2"/>
        <scheme val="minor"/>
      </rPr>
      <t>container loading operations,</t>
    </r>
    <r>
      <rPr>
        <b/>
        <sz val="20"/>
        <color theme="1"/>
        <rFont val="Aptos Narrow"/>
        <family val="2"/>
        <scheme val="minor"/>
      </rPr>
      <t xml:space="preserve"> GMPH was at </t>
    </r>
    <r>
      <rPr>
        <b/>
        <sz val="20"/>
        <color theme="9"/>
        <rFont val="Aptos Narrow"/>
        <family val="2"/>
        <scheme val="minor"/>
      </rPr>
      <t>12 boxes</t>
    </r>
    <r>
      <rPr>
        <b/>
        <sz val="20"/>
        <color theme="1"/>
        <rFont val="Aptos Narrow"/>
        <family val="2"/>
        <scheme val="minor"/>
      </rPr>
      <t xml:space="preserve">, while the established performance target is </t>
    </r>
    <r>
      <rPr>
        <b/>
        <sz val="20"/>
        <color rgb="FF0070C0"/>
        <rFont val="Aptos Narrow"/>
        <family val="2"/>
        <scheme val="minor"/>
      </rPr>
      <t xml:space="preserve">15 box. </t>
    </r>
    <r>
      <rPr>
        <b/>
        <sz val="20"/>
        <color theme="1"/>
        <rFont val="Aptos Narrow"/>
        <family val="2"/>
        <scheme val="minor"/>
      </rPr>
      <t xml:space="preserve">This represent a gap of </t>
    </r>
    <r>
      <rPr>
        <b/>
        <sz val="20"/>
        <color rgb="FFFF0000"/>
        <rFont val="Aptos Narrow"/>
        <family val="2"/>
        <scheme val="minor"/>
      </rPr>
      <t>3 movements</t>
    </r>
    <r>
      <rPr>
        <b/>
        <sz val="20"/>
        <color theme="1"/>
        <rFont val="Aptos Narrow"/>
        <family val="2"/>
        <scheme val="minor"/>
      </rPr>
      <t xml:space="preserve"> per hour, resulting in , </t>
    </r>
    <r>
      <rPr>
        <b/>
        <sz val="20"/>
        <color theme="0" tint="-0.499984740745262"/>
        <rFont val="Aptos Narrow"/>
        <family val="2"/>
        <scheme val="minor"/>
      </rPr>
      <t>in shipping line complaints, extra costs due to additional work crews, and vessels waiting to berth.</t>
    </r>
    <r>
      <rPr>
        <b/>
        <sz val="20"/>
        <color theme="1"/>
        <rFont val="Aptos Narrow"/>
        <family val="2"/>
        <scheme val="minor"/>
      </rPr>
      <t xml:space="preserve">
  </t>
    </r>
  </si>
  <si>
    <t>Trend</t>
  </si>
  <si>
    <t>Process</t>
  </si>
  <si>
    <t>Current situation</t>
  </si>
  <si>
    <t>Desired situation</t>
  </si>
  <si>
    <t>Gap</t>
  </si>
  <si>
    <t>Symptoms</t>
  </si>
  <si>
    <t>EVIDENCE</t>
  </si>
  <si>
    <t>falta capacitación</t>
  </si>
  <si>
    <t>sistema inestable</t>
  </si>
  <si>
    <t>Selected causes</t>
  </si>
  <si>
    <t>MULTI-VOTATING MATRIX</t>
  </si>
  <si>
    <t>CAUSE</t>
  </si>
  <si>
    <t>voting</t>
  </si>
  <si>
    <t>Influence</t>
  </si>
  <si>
    <t>Frequency</t>
  </si>
  <si>
    <t xml:space="preserve">Control </t>
  </si>
  <si>
    <t>Evidence</t>
  </si>
  <si>
    <t>Total</t>
  </si>
  <si>
    <t>Causa 1</t>
  </si>
  <si>
    <t>Causa 2</t>
  </si>
  <si>
    <t>Causa 3</t>
  </si>
  <si>
    <t>Causa 4</t>
  </si>
  <si>
    <t>Causa 5</t>
  </si>
  <si>
    <t>Causa 6</t>
  </si>
  <si>
    <t>Causa 7</t>
  </si>
  <si>
    <t>Causa 8</t>
  </si>
  <si>
    <t>Causa 9</t>
  </si>
  <si>
    <t>Causa 10</t>
  </si>
  <si>
    <t>Via alterna (B)</t>
  </si>
  <si>
    <t>Via alterna (C)</t>
  </si>
  <si>
    <t>WHY?</t>
  </si>
  <si>
    <t>CAN CAUSE</t>
  </si>
  <si>
    <t>PUEDE CAUSAR</t>
  </si>
  <si>
    <t>ROOT CAUSE IDENTIFIED</t>
  </si>
  <si>
    <t>CAUSA RAIZ IDENTIFICADA (B)</t>
  </si>
  <si>
    <t>CAUSA RAIZ IDENTIFICADA (C)</t>
  </si>
  <si>
    <t>CONTRAMEDIDAS DE MITIGACION</t>
  </si>
  <si>
    <t>#</t>
  </si>
  <si>
    <t>CAUSA RAIZ</t>
  </si>
  <si>
    <t>ACCIÓN</t>
  </si>
  <si>
    <t>RESPONSABLE</t>
  </si>
  <si>
    <t>FECHA</t>
  </si>
  <si>
    <t>CONTRAMEDIDAS DE ELIMINACIÓN DE CAUSA RAÍZ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</si>
</sst>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9"/>
      <color theme="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11"/>
      <color rgb="FF0066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4"/>
      <color indexed="81"/>
      <name val="Tahoma"/>
      <family val="2"/>
    </font>
    <font>
      <b/>
      <sz val="20"/>
      <color theme="1"/>
      <name val="Aptos Narrow"/>
      <family val="2"/>
      <scheme val="minor"/>
    </font>
    <font>
      <b/>
      <sz val="20"/>
      <color theme="5"/>
      <name val="Aptos Narrow"/>
      <family val="2"/>
      <scheme val="minor"/>
    </font>
    <font>
      <b/>
      <sz val="20"/>
      <color theme="8"/>
      <name val="Aptos Narrow"/>
      <family val="2"/>
      <scheme val="minor"/>
    </font>
    <font>
      <b/>
      <sz val="20"/>
      <color theme="9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theme="0" tint="-0.499984740745262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rgb="FF0070C0"/>
      <name val="Aptos Narrow"/>
      <family val="2"/>
      <scheme val="minor"/>
    </font>
    <font>
      <sz val="9"/>
      <color indexed="81"/>
      <name val="Tahoma"/>
      <family val="2"/>
    </font>
    <font>
      <b/>
      <sz val="11"/>
      <color theme="3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FF6600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1" tint="0.49998474074526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6600"/>
      </bottom>
      <diagonal/>
    </border>
    <border>
      <left/>
      <right/>
      <top style="thin">
        <color rgb="FF006600"/>
      </top>
      <bottom/>
      <diagonal/>
    </border>
    <border>
      <left/>
      <right style="thin">
        <color rgb="FF006600"/>
      </right>
      <top style="thin">
        <color rgb="FF006600"/>
      </top>
      <bottom/>
      <diagonal/>
    </border>
    <border>
      <left/>
      <right style="thin">
        <color rgb="FF006600"/>
      </right>
      <top/>
      <bottom/>
      <diagonal/>
    </border>
    <border>
      <left style="thin">
        <color rgb="FF006600"/>
      </left>
      <right/>
      <top/>
      <bottom style="thin">
        <color rgb="FF006600"/>
      </bottom>
      <diagonal/>
    </border>
    <border>
      <left/>
      <right style="thin">
        <color rgb="FF006600"/>
      </right>
      <top/>
      <bottom style="thin">
        <color rgb="FF006600"/>
      </bottom>
      <diagonal/>
    </border>
    <border>
      <left style="thin">
        <color rgb="FF006600"/>
      </left>
      <right/>
      <top style="thin">
        <color rgb="FF006600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1" tint="0.249977111117893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11" fillId="0" borderId="0" xfId="0" applyFont="1"/>
    <xf numFmtId="0" fontId="9" fillId="6" borderId="0" xfId="0" applyFont="1" applyFill="1" applyAlignment="1">
      <alignment vertical="center"/>
    </xf>
    <xf numFmtId="0" fontId="0" fillId="6" borderId="0" xfId="0" applyFill="1"/>
    <xf numFmtId="0" fontId="4" fillId="0" borderId="22" xfId="0" applyFont="1" applyBorder="1" applyAlignment="1">
      <alignment vertical="center"/>
    </xf>
    <xf numFmtId="0" fontId="0" fillId="0" borderId="23" xfId="0" applyBorder="1"/>
    <xf numFmtId="0" fontId="2" fillId="6" borderId="0" xfId="0" applyFont="1" applyFill="1" applyAlignment="1">
      <alignment vertical="center" wrapText="1"/>
    </xf>
    <xf numFmtId="0" fontId="2" fillId="6" borderId="0" xfId="0" applyFont="1" applyFill="1"/>
    <xf numFmtId="0" fontId="4" fillId="6" borderId="0" xfId="0" applyFont="1" applyFill="1"/>
    <xf numFmtId="0" fontId="7" fillId="6" borderId="0" xfId="0" applyFont="1" applyFill="1"/>
    <xf numFmtId="0" fontId="8" fillId="6" borderId="0" xfId="0" applyFont="1" applyFill="1" applyAlignment="1">
      <alignment vertical="center" wrapText="1"/>
    </xf>
    <xf numFmtId="0" fontId="5" fillId="6" borderId="0" xfId="0" applyFont="1" applyFill="1"/>
    <xf numFmtId="0" fontId="4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vertical="center" wrapText="1"/>
    </xf>
    <xf numFmtId="0" fontId="16" fillId="7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0" fillId="0" borderId="31" xfId="0" applyBorder="1"/>
    <xf numFmtId="0" fontId="1" fillId="12" borderId="8" xfId="0" applyFont="1" applyFill="1" applyBorder="1" applyAlignment="1">
      <alignment horizontal="center" vertical="center"/>
    </xf>
    <xf numFmtId="0" fontId="16" fillId="6" borderId="1" xfId="0" applyFont="1" applyFill="1" applyBorder="1" applyAlignment="1" applyProtection="1">
      <alignment horizontal="center" vertical="center" wrapText="1"/>
      <protection locked="0"/>
    </xf>
    <xf numFmtId="0" fontId="13" fillId="12" borderId="0" xfId="0" applyFont="1" applyFill="1" applyAlignment="1">
      <alignment horizontal="center"/>
    </xf>
    <xf numFmtId="0" fontId="4" fillId="6" borderId="11" xfId="0" applyFont="1" applyFill="1" applyBorder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1" fillId="12" borderId="14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 wrapText="1"/>
    </xf>
    <xf numFmtId="0" fontId="29" fillId="0" borderId="0" xfId="0" applyFont="1"/>
    <xf numFmtId="0" fontId="14" fillId="0" borderId="0" xfId="0" applyFont="1" applyAlignment="1">
      <alignment vertical="center" wrapText="1"/>
    </xf>
    <xf numFmtId="0" fontId="30" fillId="12" borderId="20" xfId="0" applyFont="1" applyFill="1" applyBorder="1" applyAlignment="1">
      <alignment horizontal="center" vertical="center" wrapText="1"/>
    </xf>
    <xf numFmtId="0" fontId="30" fillId="12" borderId="17" xfId="0" applyFont="1" applyFill="1" applyBorder="1" applyAlignment="1">
      <alignment horizontal="center" vertical="center" wrapText="1"/>
    </xf>
    <xf numFmtId="0" fontId="28" fillId="12" borderId="17" xfId="0" applyFont="1" applyFill="1" applyBorder="1" applyAlignment="1">
      <alignment horizontal="center" vertical="center" wrapText="1"/>
    </xf>
    <xf numFmtId="0" fontId="30" fillId="12" borderId="17" xfId="0" applyFont="1" applyFill="1" applyBorder="1" applyAlignment="1">
      <alignment horizontal="center" vertical="center"/>
    </xf>
    <xf numFmtId="0" fontId="1" fillId="12" borderId="17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3" fillId="13" borderId="17" xfId="0" applyFont="1" applyFill="1" applyBorder="1" applyAlignment="1" applyProtection="1">
      <alignment horizontal="center" wrapText="1"/>
      <protection locked="0"/>
    </xf>
    <xf numFmtId="0" fontId="31" fillId="13" borderId="17" xfId="0" applyFont="1" applyFill="1" applyBorder="1" applyAlignment="1" applyProtection="1">
      <alignment horizontal="center" vertical="center" wrapText="1"/>
      <protection locked="0"/>
    </xf>
    <xf numFmtId="0" fontId="4" fillId="14" borderId="11" xfId="0" applyFont="1" applyFill="1" applyBorder="1" applyAlignment="1" applyProtection="1">
      <alignment horizontal="center" vertical="center" wrapText="1"/>
      <protection locked="0"/>
    </xf>
    <xf numFmtId="0" fontId="4" fillId="14" borderId="21" xfId="0" applyFont="1" applyFill="1" applyBorder="1" applyAlignment="1" applyProtection="1">
      <alignment horizontal="center" vertical="center" wrapText="1"/>
      <protection locked="0"/>
    </xf>
    <xf numFmtId="0" fontId="4" fillId="14" borderId="0" xfId="0" applyFont="1" applyFill="1" applyAlignment="1" applyProtection="1">
      <alignment horizontal="center" vertical="center" wrapText="1"/>
      <protection locked="0"/>
    </xf>
    <xf numFmtId="0" fontId="27" fillId="13" borderId="17" xfId="0" applyFont="1" applyFill="1" applyBorder="1" applyAlignment="1">
      <alignment horizontal="center" vertical="center"/>
    </xf>
    <xf numFmtId="0" fontId="32" fillId="13" borderId="18" xfId="0" applyFont="1" applyFill="1" applyBorder="1" applyAlignment="1">
      <alignment horizontal="center" vertical="center" wrapText="1"/>
    </xf>
    <xf numFmtId="0" fontId="32" fillId="13" borderId="18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31" fillId="13" borderId="17" xfId="0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  <xf numFmtId="0" fontId="34" fillId="13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3" fillId="7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3" fillId="8" borderId="0" xfId="0" applyFont="1" applyFill="1" applyAlignment="1">
      <alignment horizontal="center" vertical="center" wrapText="1"/>
    </xf>
    <xf numFmtId="0" fontId="23" fillId="9" borderId="0" xfId="0" applyFont="1" applyFill="1" applyAlignment="1">
      <alignment horizontal="center" vertical="center" wrapText="1"/>
    </xf>
    <xf numFmtId="0" fontId="23" fillId="10" borderId="0" xfId="0" applyFont="1" applyFill="1" applyAlignment="1">
      <alignment horizontal="center" vertical="center" wrapText="1"/>
    </xf>
    <xf numFmtId="0" fontId="23" fillId="11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13" fillId="15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0" fillId="6" borderId="26" xfId="0" applyFill="1" applyBorder="1" applyAlignment="1" applyProtection="1">
      <alignment horizontal="center"/>
      <protection locked="0"/>
    </xf>
    <xf numFmtId="0" fontId="0" fillId="6" borderId="27" xfId="0" applyFill="1" applyBorder="1" applyAlignment="1" applyProtection="1">
      <alignment horizontal="center"/>
      <protection locked="0"/>
    </xf>
    <xf numFmtId="0" fontId="0" fillId="6" borderId="28" xfId="0" applyFill="1" applyBorder="1" applyAlignment="1" applyProtection="1">
      <alignment horizontal="center"/>
      <protection locked="0"/>
    </xf>
    <xf numFmtId="0" fontId="0" fillId="6" borderId="29" xfId="0" applyFill="1" applyBorder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6" borderId="30" xfId="0" applyFill="1" applyBorder="1" applyAlignment="1" applyProtection="1">
      <alignment horizontal="center"/>
      <protection locked="0"/>
    </xf>
    <xf numFmtId="0" fontId="0" fillId="6" borderId="32" xfId="0" applyFill="1" applyBorder="1" applyAlignment="1" applyProtection="1">
      <alignment horizontal="center"/>
      <protection locked="0"/>
    </xf>
    <xf numFmtId="0" fontId="0" fillId="6" borderId="33" xfId="0" applyFill="1" applyBorder="1" applyAlignment="1" applyProtection="1">
      <alignment horizontal="center"/>
      <protection locked="0"/>
    </xf>
    <xf numFmtId="0" fontId="0" fillId="6" borderId="34" xfId="0" applyFill="1" applyBorder="1" applyAlignment="1" applyProtection="1">
      <alignment horizontal="center"/>
      <protection locked="0"/>
    </xf>
    <xf numFmtId="0" fontId="1" fillId="12" borderId="19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 wrapText="1"/>
    </xf>
    <xf numFmtId="0" fontId="12" fillId="15" borderId="29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4" fillId="14" borderId="11" xfId="0" applyFont="1" applyFill="1" applyBorder="1" applyAlignment="1" applyProtection="1">
      <alignment horizontal="center" vertical="center" wrapText="1"/>
      <protection locked="0"/>
    </xf>
    <xf numFmtId="0" fontId="4" fillId="14" borderId="12" xfId="0" applyFont="1" applyFill="1" applyBorder="1" applyAlignment="1" applyProtection="1">
      <alignment horizontal="center" vertical="center" wrapText="1"/>
      <protection locked="0"/>
    </xf>
    <xf numFmtId="0" fontId="28" fillId="4" borderId="4" xfId="0" applyFont="1" applyFill="1" applyBorder="1" applyAlignment="1">
      <alignment horizontal="center" vertical="center" wrapText="1"/>
    </xf>
    <xf numFmtId="0" fontId="28" fillId="4" borderId="7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14" borderId="11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5" fillId="6" borderId="15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12" borderId="21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4" fillId="6" borderId="15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  <color rgb="FFFBFBFB"/>
      <color rgb="FFF3F3F3"/>
      <color rgb="FF9C5700"/>
      <color rgb="FFA27B00"/>
      <color rgb="FFB88C00"/>
      <color rgb="FFECF9E7"/>
      <color rgb="FF006600"/>
      <color rgb="FF339966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10" Type="http://schemas.openxmlformats.org/officeDocument/2006/relationships/image" Target="../media/image23.svg"/><Relationship Id="rId4" Type="http://schemas.openxmlformats.org/officeDocument/2006/relationships/image" Target="../media/image17.png"/><Relationship Id="rId9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426606</xdr:colOff>
      <xdr:row>6</xdr:row>
      <xdr:rowOff>20492</xdr:rowOff>
    </xdr:from>
    <xdr:to>
      <xdr:col>5</xdr:col>
      <xdr:colOff>502228</xdr:colOff>
      <xdr:row>15</xdr:row>
      <xdr:rowOff>647700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289DEEE-DF49-4CD2-8CEC-3ABAA2FF4314}"/>
            </a:ext>
          </a:extLst>
        </xdr:cNvPr>
        <xdr:cNvSpPr/>
      </xdr:nvSpPr>
      <xdr:spPr>
        <a:xfrm>
          <a:off x="429781" y="1430192"/>
          <a:ext cx="4076122" cy="353233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ES" sz="1100">
              <a:solidFill>
                <a:schemeClr val="lt1"/>
              </a:solidFill>
              <a:latin typeface="+mn-lt"/>
              <a:ea typeface="+mn-ea"/>
              <a:cs typeface="+mn-cs"/>
            </a:rPr>
            <a:t>ss	on</a:t>
          </a:r>
        </a:p>
      </xdr:txBody>
    </xdr:sp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304800</xdr:colOff>
      <xdr:row>30</xdr:row>
      <xdr:rowOff>117473</xdr:rowOff>
    </xdr:to>
    <xdr:sp macro="" textlink="">
      <xdr:nvSpPr>
        <xdr:cNvPr id="3" name="AutoShape 1" descr="Vista previa de imagen">
          <a:extLst>
            <a:ext uri="{FF2B5EF4-FFF2-40B4-BE49-F238E27FC236}">
              <a16:creationId xmlns:a16="http://schemas.microsoft.com/office/drawing/2014/main" id="{7B168497-BC89-4350-8256-BBC018F34E25}"/>
            </a:ext>
          </a:extLst>
        </xdr:cNvPr>
        <xdr:cNvSpPr>
          <a:spLocks noChangeAspect="1" noChangeArrowheads="1"/>
        </xdr:cNvSpPr>
      </xdr:nvSpPr>
      <xdr:spPr bwMode="auto">
        <a:xfrm>
          <a:off x="19021425" y="10296525"/>
          <a:ext cx="304800" cy="298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5569139</xdr:colOff>
      <xdr:row>16</xdr:row>
      <xdr:rowOff>196850</xdr:rowOff>
    </xdr:from>
    <xdr:to>
      <xdr:col>9</xdr:col>
      <xdr:colOff>179742</xdr:colOff>
      <xdr:row>20</xdr:row>
      <xdr:rowOff>231321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21D0551F-741C-4BDA-B02D-C0C5492DAFA9}"/>
            </a:ext>
          </a:extLst>
        </xdr:cNvPr>
        <xdr:cNvSpPr/>
      </xdr:nvSpPr>
      <xdr:spPr>
        <a:xfrm>
          <a:off x="18183414" y="7296150"/>
          <a:ext cx="1020928" cy="974271"/>
        </a:xfrm>
        <a:prstGeom prst="roundRect">
          <a:avLst>
            <a:gd name="adj" fmla="val 4761"/>
          </a:avLst>
        </a:prstGeom>
        <a:solidFill>
          <a:schemeClr val="tx2"/>
        </a:solidFill>
        <a:ln w="9525" cap="rnd" cmpd="sng" algn="ctr">
          <a:solidFill>
            <a:schemeClr val="accent4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3429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 sz="12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646448</xdr:colOff>
      <xdr:row>16</xdr:row>
      <xdr:rowOff>240085</xdr:rowOff>
    </xdr:from>
    <xdr:to>
      <xdr:col>10</xdr:col>
      <xdr:colOff>821711</xdr:colOff>
      <xdr:row>21</xdr:row>
      <xdr:rowOff>31461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82B0FB9B-C641-4A02-989A-8EB12704F901}"/>
            </a:ext>
          </a:extLst>
        </xdr:cNvPr>
        <xdr:cNvSpPr/>
      </xdr:nvSpPr>
      <xdr:spPr>
        <a:xfrm>
          <a:off x="19667873" y="7333035"/>
          <a:ext cx="975363" cy="1010576"/>
        </a:xfrm>
        <a:prstGeom prst="roundRect">
          <a:avLst>
            <a:gd name="adj" fmla="val 4761"/>
          </a:avLst>
        </a:prstGeom>
        <a:solidFill>
          <a:schemeClr val="tx2"/>
        </a:solidFill>
        <a:ln w="9525" cap="rnd" cmpd="sng" algn="ctr">
          <a:solidFill>
            <a:schemeClr val="accent4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3429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 sz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1296261</xdr:colOff>
      <xdr:row>16</xdr:row>
      <xdr:rowOff>196983</xdr:rowOff>
    </xdr:from>
    <xdr:to>
      <xdr:col>10</xdr:col>
      <xdr:colOff>2273976</xdr:colOff>
      <xdr:row>21</xdr:row>
      <xdr:rowOff>13607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B96B5904-CEF0-4339-B49E-097DD3A52873}"/>
            </a:ext>
          </a:extLst>
        </xdr:cNvPr>
        <xdr:cNvSpPr/>
      </xdr:nvSpPr>
      <xdr:spPr>
        <a:xfrm>
          <a:off x="21117786" y="7296283"/>
          <a:ext cx="980890" cy="1029474"/>
        </a:xfrm>
        <a:prstGeom prst="roundRect">
          <a:avLst>
            <a:gd name="adj" fmla="val 4761"/>
          </a:avLst>
        </a:prstGeom>
        <a:solidFill>
          <a:schemeClr val="tx2"/>
        </a:solidFill>
        <a:ln w="9525" cap="rnd" cmpd="sng" algn="ctr">
          <a:solidFill>
            <a:schemeClr val="accent4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3429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 sz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2811795</xdr:colOff>
      <xdr:row>16</xdr:row>
      <xdr:rowOff>239469</xdr:rowOff>
    </xdr:from>
    <xdr:to>
      <xdr:col>10</xdr:col>
      <xdr:colOff>3789507</xdr:colOff>
      <xdr:row>21</xdr:row>
      <xdr:rowOff>13607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AA6EA24D-2056-43CE-9090-87F2AEE04F9C}"/>
            </a:ext>
          </a:extLst>
        </xdr:cNvPr>
        <xdr:cNvSpPr/>
      </xdr:nvSpPr>
      <xdr:spPr>
        <a:xfrm>
          <a:off x="22630145" y="7332419"/>
          <a:ext cx="980887" cy="993338"/>
        </a:xfrm>
        <a:prstGeom prst="roundRect">
          <a:avLst>
            <a:gd name="adj" fmla="val 4761"/>
          </a:avLst>
        </a:prstGeom>
        <a:solidFill>
          <a:schemeClr val="tx2"/>
        </a:solidFill>
        <a:ln w="9525" cap="rnd" cmpd="sng" algn="ctr">
          <a:solidFill>
            <a:schemeClr val="accent4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3429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 sz="12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4086415</xdr:colOff>
      <xdr:row>16</xdr:row>
      <xdr:rowOff>199979</xdr:rowOff>
    </xdr:from>
    <xdr:to>
      <xdr:col>8</xdr:col>
      <xdr:colOff>5060216</xdr:colOff>
      <xdr:row>20</xdr:row>
      <xdr:rowOff>231321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CCA4F5FF-A0C8-4742-A3BB-D897B2A5717B}"/>
            </a:ext>
          </a:extLst>
        </xdr:cNvPr>
        <xdr:cNvSpPr/>
      </xdr:nvSpPr>
      <xdr:spPr>
        <a:xfrm>
          <a:off x="16694340" y="7299279"/>
          <a:ext cx="973801" cy="971142"/>
        </a:xfrm>
        <a:prstGeom prst="roundRect">
          <a:avLst>
            <a:gd name="adj" fmla="val 4761"/>
          </a:avLst>
        </a:prstGeom>
        <a:solidFill>
          <a:schemeClr val="tx2"/>
        </a:solidFill>
        <a:ln w="9525" cap="rnd" cmpd="sng" algn="ctr">
          <a:solidFill>
            <a:schemeClr val="accent4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3429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 sz="12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2564533</xdr:colOff>
      <xdr:row>16</xdr:row>
      <xdr:rowOff>182241</xdr:rowOff>
    </xdr:from>
    <xdr:to>
      <xdr:col>8</xdr:col>
      <xdr:colOff>3571033</xdr:colOff>
      <xdr:row>20</xdr:row>
      <xdr:rowOff>204107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87DAF457-2553-458F-B71B-CC8FCE0B6548}"/>
            </a:ext>
          </a:extLst>
        </xdr:cNvPr>
        <xdr:cNvSpPr/>
      </xdr:nvSpPr>
      <xdr:spPr>
        <a:xfrm>
          <a:off x="15172458" y="7275191"/>
          <a:ext cx="1012850" cy="964841"/>
        </a:xfrm>
        <a:prstGeom prst="roundRect">
          <a:avLst>
            <a:gd name="adj" fmla="val 4761"/>
          </a:avLst>
        </a:prstGeom>
        <a:solidFill>
          <a:schemeClr val="tx2"/>
        </a:solidFill>
        <a:ln w="9525" cap="rnd" cmpd="sng" algn="ctr">
          <a:solidFill>
            <a:schemeClr val="accent4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3429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 sz="12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8</xdr:col>
      <xdr:colOff>2698366</xdr:colOff>
      <xdr:row>16</xdr:row>
      <xdr:rowOff>239860</xdr:rowOff>
    </xdr:from>
    <xdr:to>
      <xdr:col>8</xdr:col>
      <xdr:colOff>3458611</xdr:colOff>
      <xdr:row>20</xdr:row>
      <xdr:rowOff>85709</xdr:rowOff>
    </xdr:to>
    <xdr:pic>
      <xdr:nvPicPr>
        <xdr:cNvPr id="10" name="Gráfico 16" descr="Gráfico de barras con tendencia bajista con relleno sólido">
          <a:extLst>
            <a:ext uri="{FF2B5EF4-FFF2-40B4-BE49-F238E27FC236}">
              <a16:creationId xmlns:a16="http://schemas.microsoft.com/office/drawing/2014/main" id="{E9BB1A9C-444C-4DB7-BB50-F0CD701EA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306291" y="7332810"/>
          <a:ext cx="760245" cy="795174"/>
        </a:xfrm>
        <a:prstGeom prst="rect">
          <a:avLst/>
        </a:prstGeom>
      </xdr:spPr>
    </xdr:pic>
    <xdr:clientData/>
  </xdr:twoCellAnchor>
  <xdr:twoCellAnchor editAs="oneCell">
    <xdr:from>
      <xdr:col>8</xdr:col>
      <xdr:colOff>5705632</xdr:colOff>
      <xdr:row>16</xdr:row>
      <xdr:rowOff>295336</xdr:rowOff>
    </xdr:from>
    <xdr:to>
      <xdr:col>9</xdr:col>
      <xdr:colOff>77386</xdr:colOff>
      <xdr:row>20</xdr:row>
      <xdr:rowOff>125638</xdr:rowOff>
    </xdr:to>
    <xdr:pic>
      <xdr:nvPicPr>
        <xdr:cNvPr id="11" name="Gráfico 24" descr="Marcador con relleno sólido">
          <a:extLst>
            <a:ext uri="{FF2B5EF4-FFF2-40B4-BE49-F238E27FC236}">
              <a16:creationId xmlns:a16="http://schemas.microsoft.com/office/drawing/2014/main" id="{C6126F36-F963-4913-8E9A-EBDE1535A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313557" y="7388286"/>
          <a:ext cx="785254" cy="773277"/>
        </a:xfrm>
        <a:prstGeom prst="rect">
          <a:avLst/>
        </a:prstGeom>
      </xdr:spPr>
    </xdr:pic>
    <xdr:clientData/>
  </xdr:twoCellAnchor>
  <xdr:twoCellAnchor editAs="oneCell">
    <xdr:from>
      <xdr:col>9</xdr:col>
      <xdr:colOff>786481</xdr:colOff>
      <xdr:row>17</xdr:row>
      <xdr:rowOff>36704</xdr:rowOff>
    </xdr:from>
    <xdr:to>
      <xdr:col>10</xdr:col>
      <xdr:colOff>696321</xdr:colOff>
      <xdr:row>20</xdr:row>
      <xdr:rowOff>182899</xdr:rowOff>
    </xdr:to>
    <xdr:pic>
      <xdr:nvPicPr>
        <xdr:cNvPr id="12" name="Gráfico 29" descr="Objetivo con relleno sólido">
          <a:extLst>
            <a:ext uri="{FF2B5EF4-FFF2-40B4-BE49-F238E27FC236}">
              <a16:creationId xmlns:a16="http://schemas.microsoft.com/office/drawing/2014/main" id="{127AC070-D28A-4EAF-BBCD-8971AEEAF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9811081" y="7456679"/>
          <a:ext cx="703590" cy="762145"/>
        </a:xfrm>
        <a:prstGeom prst="rect">
          <a:avLst/>
        </a:prstGeom>
      </xdr:spPr>
    </xdr:pic>
    <xdr:clientData/>
  </xdr:twoCellAnchor>
  <xdr:twoCellAnchor editAs="oneCell">
    <xdr:from>
      <xdr:col>10</xdr:col>
      <xdr:colOff>2993766</xdr:colOff>
      <xdr:row>17</xdr:row>
      <xdr:rowOff>55127</xdr:rowOff>
    </xdr:from>
    <xdr:to>
      <xdr:col>10</xdr:col>
      <xdr:colOff>3694003</xdr:colOff>
      <xdr:row>20</xdr:row>
      <xdr:rowOff>140544</xdr:rowOff>
    </xdr:to>
    <xdr:pic>
      <xdr:nvPicPr>
        <xdr:cNvPr id="13" name="Gráfico 37" descr="Fiebre con relleno sólido">
          <a:extLst>
            <a:ext uri="{FF2B5EF4-FFF2-40B4-BE49-F238E27FC236}">
              <a16:creationId xmlns:a16="http://schemas.microsoft.com/office/drawing/2014/main" id="{1F911149-74C2-4E35-88D0-42BEE3971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2815291" y="7475102"/>
          <a:ext cx="700237" cy="707717"/>
        </a:xfrm>
        <a:prstGeom prst="rect">
          <a:avLst/>
        </a:prstGeom>
      </xdr:spPr>
    </xdr:pic>
    <xdr:clientData/>
  </xdr:twoCellAnchor>
  <xdr:twoCellAnchor editAs="oneCell">
    <xdr:from>
      <xdr:col>8</xdr:col>
      <xdr:colOff>4219852</xdr:colOff>
      <xdr:row>16</xdr:row>
      <xdr:rowOff>254383</xdr:rowOff>
    </xdr:from>
    <xdr:to>
      <xdr:col>8</xdr:col>
      <xdr:colOff>4944201</xdr:colOff>
      <xdr:row>20</xdr:row>
      <xdr:rowOff>38854</xdr:rowOff>
    </xdr:to>
    <xdr:pic>
      <xdr:nvPicPr>
        <xdr:cNvPr id="14" name="Gráfico 20" descr="Flujo de trabajo con relleno sólido">
          <a:extLst>
            <a:ext uri="{FF2B5EF4-FFF2-40B4-BE49-F238E27FC236}">
              <a16:creationId xmlns:a16="http://schemas.microsoft.com/office/drawing/2014/main" id="{6421036C-8F14-455A-BA48-2F76FBE61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6827777" y="7353683"/>
          <a:ext cx="724349" cy="724271"/>
        </a:xfrm>
        <a:prstGeom prst="rect">
          <a:avLst/>
        </a:prstGeom>
      </xdr:spPr>
    </xdr:pic>
    <xdr:clientData/>
  </xdr:twoCellAnchor>
  <xdr:twoCellAnchor>
    <xdr:from>
      <xdr:col>10</xdr:col>
      <xdr:colOff>1527172</xdr:colOff>
      <xdr:row>18</xdr:row>
      <xdr:rowOff>203488</xdr:rowOff>
    </xdr:from>
    <xdr:to>
      <xdr:col>10</xdr:col>
      <xdr:colOff>2055227</xdr:colOff>
      <xdr:row>18</xdr:row>
      <xdr:rowOff>203488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C52F6C3A-9A33-4B4A-8E54-3DE57756C613}"/>
            </a:ext>
          </a:extLst>
        </xdr:cNvPr>
        <xdr:cNvCxnSpPr/>
      </xdr:nvCxnSpPr>
      <xdr:spPr>
        <a:xfrm>
          <a:off x="21348697" y="7801263"/>
          <a:ext cx="528055" cy="0"/>
        </a:xfrm>
        <a:prstGeom prst="line">
          <a:avLst/>
        </a:prstGeom>
        <a:ln w="76200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2360180</xdr:colOff>
      <xdr:row>22</xdr:row>
      <xdr:rowOff>20302</xdr:rowOff>
    </xdr:from>
    <xdr:to>
      <xdr:col>8</xdr:col>
      <xdr:colOff>3737985</xdr:colOff>
      <xdr:row>24</xdr:row>
      <xdr:rowOff>2913</xdr:rowOff>
    </xdr:to>
    <xdr:sp macro="" textlink="">
      <xdr:nvSpPr>
        <xdr:cNvPr id="16" name="Title 1">
          <a:extLst>
            <a:ext uri="{FF2B5EF4-FFF2-40B4-BE49-F238E27FC236}">
              <a16:creationId xmlns:a16="http://schemas.microsoft.com/office/drawing/2014/main" id="{052EE852-EAAE-49BF-9D3E-7D1A79CACB35}"/>
            </a:ext>
          </a:extLst>
        </xdr:cNvPr>
        <xdr:cNvSpPr txBox="1">
          <a:spLocks/>
        </xdr:cNvSpPr>
      </xdr:nvSpPr>
      <xdr:spPr>
        <a:xfrm>
          <a:off x="14971280" y="8516602"/>
          <a:ext cx="1380980" cy="420761"/>
        </a:xfrm>
        <a:prstGeom prst="rect">
          <a:avLst/>
        </a:prstGeom>
      </xdr:spPr>
      <xdr:txBody>
        <a:bodyPr vert="horz" wrap="square" lIns="0" tIns="0" rIns="0" bIns="0" rtlCol="0" anchor="t">
          <a:spAutoFit/>
        </a:bodyPr>
        <a:lstStyle>
          <a:defPPr>
            <a:defRPr lang="en-US"/>
          </a:defPPr>
          <a:lvl1pPr marL="0" algn="l" defTabSz="685800" rtl="0" eaLnBrk="1" latinLnBrk="0" hangingPunct="1">
            <a:lnSpc>
              <a:spcPct val="100000"/>
            </a:lnSpc>
            <a:spcBef>
              <a:spcPct val="0"/>
            </a:spcBef>
            <a:buNone/>
            <a:defRPr lang="en-US" sz="2000" b="1" kern="1200">
              <a:solidFill>
                <a:schemeClr val="accent5"/>
              </a:solidFill>
              <a:latin typeface="+mj-lt"/>
              <a:ea typeface="+mj-ea"/>
              <a:cs typeface="+mj-cs"/>
              <a:sym typeface="Trebuchet MS" panose="020B0603020202020204" pitchFamily="34" charset="0"/>
            </a:defRPr>
          </a:lvl1pPr>
          <a:lvl2pPr marL="3429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000">
              <a:solidFill>
                <a:schemeClr val="accent2"/>
              </a:solidFill>
            </a:rPr>
            <a:t>Tendencia</a:t>
          </a:r>
        </a:p>
      </xdr:txBody>
    </xdr:sp>
    <xdr:clientData/>
  </xdr:twoCellAnchor>
  <xdr:twoCellAnchor>
    <xdr:from>
      <xdr:col>8</xdr:col>
      <xdr:colOff>3654321</xdr:colOff>
      <xdr:row>21</xdr:row>
      <xdr:rowOff>168445</xdr:rowOff>
    </xdr:from>
    <xdr:to>
      <xdr:col>8</xdr:col>
      <xdr:colOff>5447160</xdr:colOff>
      <xdr:row>23</xdr:row>
      <xdr:rowOff>144705</xdr:rowOff>
    </xdr:to>
    <xdr:sp macro="" textlink="">
      <xdr:nvSpPr>
        <xdr:cNvPr id="17" name="Title 1">
          <a:extLst>
            <a:ext uri="{FF2B5EF4-FFF2-40B4-BE49-F238E27FC236}">
              <a16:creationId xmlns:a16="http://schemas.microsoft.com/office/drawing/2014/main" id="{88D210E7-A621-4A21-B114-477E192B9B99}"/>
            </a:ext>
          </a:extLst>
        </xdr:cNvPr>
        <xdr:cNvSpPr txBox="1">
          <a:spLocks/>
        </xdr:cNvSpPr>
      </xdr:nvSpPr>
      <xdr:spPr>
        <a:xfrm>
          <a:off x="16262246" y="8483770"/>
          <a:ext cx="1796014" cy="411235"/>
        </a:xfrm>
        <a:prstGeom prst="rect">
          <a:avLst/>
        </a:prstGeom>
      </xdr:spPr>
      <xdr:txBody>
        <a:bodyPr vert="horz" wrap="square" lIns="0" tIns="0" rIns="0" bIns="0" rtlCol="0" anchor="t">
          <a:spAutoFit/>
        </a:bodyPr>
        <a:lstStyle>
          <a:defPPr>
            <a:defRPr lang="en-US"/>
          </a:defPPr>
          <a:lvl1pPr marL="0" algn="l" defTabSz="685800" rtl="0" eaLnBrk="1" latinLnBrk="0" hangingPunct="1">
            <a:lnSpc>
              <a:spcPct val="100000"/>
            </a:lnSpc>
            <a:spcBef>
              <a:spcPct val="0"/>
            </a:spcBef>
            <a:buNone/>
            <a:defRPr lang="en-US" sz="2000" b="1" kern="1200">
              <a:solidFill>
                <a:schemeClr val="accent5"/>
              </a:solidFill>
              <a:latin typeface="+mj-lt"/>
              <a:ea typeface="+mj-ea"/>
              <a:cs typeface="+mj-cs"/>
              <a:sym typeface="Trebuchet MS" panose="020B0603020202020204" pitchFamily="34" charset="0"/>
            </a:defRPr>
          </a:lvl1pPr>
          <a:lvl2pPr marL="3429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000">
              <a:solidFill>
                <a:srgbClr val="FF00FF"/>
              </a:solidFill>
            </a:rPr>
            <a:t>Proceso</a:t>
          </a:r>
        </a:p>
      </xdr:txBody>
    </xdr:sp>
    <xdr:clientData/>
  </xdr:twoCellAnchor>
  <xdr:twoCellAnchor>
    <xdr:from>
      <xdr:col>8</xdr:col>
      <xdr:colOff>5324119</xdr:colOff>
      <xdr:row>21</xdr:row>
      <xdr:rowOff>142588</xdr:rowOff>
    </xdr:from>
    <xdr:to>
      <xdr:col>9</xdr:col>
      <xdr:colOff>346365</xdr:colOff>
      <xdr:row>25</xdr:row>
      <xdr:rowOff>66533</xdr:rowOff>
    </xdr:to>
    <xdr:sp macro="" textlink="">
      <xdr:nvSpPr>
        <xdr:cNvPr id="18" name="Title 1">
          <a:extLst>
            <a:ext uri="{FF2B5EF4-FFF2-40B4-BE49-F238E27FC236}">
              <a16:creationId xmlns:a16="http://schemas.microsoft.com/office/drawing/2014/main" id="{066444D7-6C87-4C9E-9A50-C87C50DEBB13}"/>
            </a:ext>
          </a:extLst>
        </xdr:cNvPr>
        <xdr:cNvSpPr txBox="1">
          <a:spLocks/>
        </xdr:cNvSpPr>
      </xdr:nvSpPr>
      <xdr:spPr>
        <a:xfrm>
          <a:off x="17938394" y="8461088"/>
          <a:ext cx="1432571" cy="800245"/>
        </a:xfrm>
        <a:prstGeom prst="rect">
          <a:avLst/>
        </a:prstGeom>
      </xdr:spPr>
      <xdr:txBody>
        <a:bodyPr vert="horz" wrap="square" lIns="0" tIns="0" rIns="0" bIns="0" rtlCol="0" anchor="t">
          <a:spAutoFit/>
        </a:bodyPr>
        <a:lstStyle>
          <a:defPPr>
            <a:defRPr lang="en-US"/>
          </a:defPPr>
          <a:lvl1pPr marL="0" algn="l" defTabSz="685800" rtl="0" eaLnBrk="1" latinLnBrk="0" hangingPunct="1">
            <a:lnSpc>
              <a:spcPct val="100000"/>
            </a:lnSpc>
            <a:spcBef>
              <a:spcPct val="0"/>
            </a:spcBef>
            <a:buNone/>
            <a:defRPr lang="en-US" sz="2000" b="1" kern="1200">
              <a:solidFill>
                <a:schemeClr val="accent5"/>
              </a:solidFill>
              <a:latin typeface="+mj-lt"/>
              <a:ea typeface="+mj-ea"/>
              <a:cs typeface="+mj-cs"/>
              <a:sym typeface="Trebuchet MS" panose="020B0603020202020204" pitchFamily="34" charset="0"/>
            </a:defRPr>
          </a:lvl1pPr>
          <a:lvl2pPr marL="3429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000">
              <a:solidFill>
                <a:srgbClr val="00B050"/>
              </a:solidFill>
            </a:rPr>
            <a:t>Situación actual</a:t>
          </a:r>
        </a:p>
      </xdr:txBody>
    </xdr:sp>
    <xdr:clientData/>
  </xdr:twoCellAnchor>
  <xdr:twoCellAnchor>
    <xdr:from>
      <xdr:col>9</xdr:col>
      <xdr:colOff>450670</xdr:colOff>
      <xdr:row>21</xdr:row>
      <xdr:rowOff>140853</xdr:rowOff>
    </xdr:from>
    <xdr:to>
      <xdr:col>10</xdr:col>
      <xdr:colOff>962326</xdr:colOff>
      <xdr:row>24</xdr:row>
      <xdr:rowOff>38581</xdr:rowOff>
    </xdr:to>
    <xdr:sp macro="" textlink="">
      <xdr:nvSpPr>
        <xdr:cNvPr id="19" name="Title 1">
          <a:extLst>
            <a:ext uri="{FF2B5EF4-FFF2-40B4-BE49-F238E27FC236}">
              <a16:creationId xmlns:a16="http://schemas.microsoft.com/office/drawing/2014/main" id="{C266FB46-69D3-4653-AD42-FA1C0EAA6D45}"/>
            </a:ext>
          </a:extLst>
        </xdr:cNvPr>
        <xdr:cNvSpPr txBox="1">
          <a:spLocks/>
        </xdr:cNvSpPr>
      </xdr:nvSpPr>
      <xdr:spPr>
        <a:xfrm>
          <a:off x="19468920" y="8459353"/>
          <a:ext cx="1311756" cy="513678"/>
        </a:xfrm>
        <a:prstGeom prst="rect">
          <a:avLst/>
        </a:prstGeom>
      </xdr:spPr>
      <xdr:txBody>
        <a:bodyPr vert="horz" wrap="square" lIns="0" tIns="0" rIns="0" bIns="0" rtlCol="0" anchor="t">
          <a:noAutofit/>
        </a:bodyPr>
        <a:lstStyle>
          <a:defPPr>
            <a:defRPr lang="en-US"/>
          </a:defPPr>
          <a:lvl1pPr marL="0" algn="l" defTabSz="685800" rtl="0" eaLnBrk="1" latinLnBrk="0" hangingPunct="1">
            <a:lnSpc>
              <a:spcPct val="100000"/>
            </a:lnSpc>
            <a:spcBef>
              <a:spcPct val="0"/>
            </a:spcBef>
            <a:buNone/>
            <a:defRPr lang="en-US" sz="2000" b="1" kern="1200">
              <a:solidFill>
                <a:schemeClr val="accent5"/>
              </a:solidFill>
              <a:latin typeface="+mj-lt"/>
              <a:ea typeface="+mj-ea"/>
              <a:cs typeface="+mj-cs"/>
              <a:sym typeface="Trebuchet MS" panose="020B0603020202020204" pitchFamily="34" charset="0"/>
            </a:defRPr>
          </a:lvl1pPr>
          <a:lvl2pPr marL="3429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000">
              <a:solidFill>
                <a:srgbClr val="0070C0"/>
              </a:solidFill>
            </a:rPr>
            <a:t>Situación deseada</a:t>
          </a:r>
        </a:p>
      </xdr:txBody>
    </xdr:sp>
    <xdr:clientData/>
  </xdr:twoCellAnchor>
  <xdr:twoCellAnchor>
    <xdr:from>
      <xdr:col>10</xdr:col>
      <xdr:colOff>716579</xdr:colOff>
      <xdr:row>21</xdr:row>
      <xdr:rowOff>158829</xdr:rowOff>
    </xdr:from>
    <xdr:to>
      <xdr:col>10</xdr:col>
      <xdr:colOff>2808932</xdr:colOff>
      <xdr:row>23</xdr:row>
      <xdr:rowOff>141439</xdr:rowOff>
    </xdr:to>
    <xdr:sp macro="" textlink="">
      <xdr:nvSpPr>
        <xdr:cNvPr id="20" name="Title 1">
          <a:extLst>
            <a:ext uri="{FF2B5EF4-FFF2-40B4-BE49-F238E27FC236}">
              <a16:creationId xmlns:a16="http://schemas.microsoft.com/office/drawing/2014/main" id="{F76AB58E-3BE2-4F5A-816B-0F6F898737F4}"/>
            </a:ext>
          </a:extLst>
        </xdr:cNvPr>
        <xdr:cNvSpPr txBox="1">
          <a:spLocks/>
        </xdr:cNvSpPr>
      </xdr:nvSpPr>
      <xdr:spPr>
        <a:xfrm>
          <a:off x="20534929" y="8477329"/>
          <a:ext cx="2098703" cy="420760"/>
        </a:xfrm>
        <a:prstGeom prst="rect">
          <a:avLst/>
        </a:prstGeom>
      </xdr:spPr>
      <xdr:txBody>
        <a:bodyPr vert="horz" wrap="square" lIns="0" tIns="0" rIns="0" bIns="0" rtlCol="0" anchor="t">
          <a:spAutoFit/>
        </a:bodyPr>
        <a:lstStyle>
          <a:defPPr>
            <a:defRPr lang="en-US"/>
          </a:defPPr>
          <a:lvl1pPr marL="0" algn="l" defTabSz="685800" rtl="0" eaLnBrk="1" latinLnBrk="0" hangingPunct="1">
            <a:lnSpc>
              <a:spcPct val="100000"/>
            </a:lnSpc>
            <a:spcBef>
              <a:spcPct val="0"/>
            </a:spcBef>
            <a:buNone/>
            <a:defRPr lang="en-US" sz="2000" b="1" kern="1200">
              <a:solidFill>
                <a:schemeClr val="accent5"/>
              </a:solidFill>
              <a:latin typeface="+mj-lt"/>
              <a:ea typeface="+mj-ea"/>
              <a:cs typeface="+mj-cs"/>
              <a:sym typeface="Trebuchet MS" panose="020B0603020202020204" pitchFamily="34" charset="0"/>
            </a:defRPr>
          </a:lvl1pPr>
          <a:lvl2pPr marL="3429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000">
              <a:solidFill>
                <a:srgbClr val="FF3300"/>
              </a:solidFill>
            </a:rPr>
            <a:t>Brecha</a:t>
          </a:r>
        </a:p>
      </xdr:txBody>
    </xdr:sp>
    <xdr:clientData/>
  </xdr:twoCellAnchor>
  <xdr:twoCellAnchor>
    <xdr:from>
      <xdr:col>10</xdr:col>
      <xdr:colOff>2396601</xdr:colOff>
      <xdr:row>22</xdr:row>
      <xdr:rowOff>6616</xdr:rowOff>
    </xdr:from>
    <xdr:to>
      <xdr:col>10</xdr:col>
      <xdr:colOff>4221189</xdr:colOff>
      <xdr:row>23</xdr:row>
      <xdr:rowOff>140183</xdr:rowOff>
    </xdr:to>
    <xdr:sp macro="" textlink="">
      <xdr:nvSpPr>
        <xdr:cNvPr id="21" name="Title 1">
          <a:extLst>
            <a:ext uri="{FF2B5EF4-FFF2-40B4-BE49-F238E27FC236}">
              <a16:creationId xmlns:a16="http://schemas.microsoft.com/office/drawing/2014/main" id="{AC0F0DB4-2F02-490F-8235-067A1A3B8FD2}"/>
            </a:ext>
          </a:extLst>
        </xdr:cNvPr>
        <xdr:cNvSpPr txBox="1">
          <a:spLocks/>
        </xdr:cNvSpPr>
      </xdr:nvSpPr>
      <xdr:spPr>
        <a:xfrm>
          <a:off x="22214951" y="8506091"/>
          <a:ext cx="1824588" cy="390742"/>
        </a:xfrm>
        <a:prstGeom prst="rect">
          <a:avLst/>
        </a:prstGeom>
      </xdr:spPr>
      <xdr:txBody>
        <a:bodyPr vert="horz" wrap="square" lIns="0" tIns="0" rIns="0" bIns="0" rtlCol="0" anchor="t">
          <a:spAutoFit/>
        </a:bodyPr>
        <a:lstStyle>
          <a:defPPr>
            <a:defRPr lang="en-US"/>
          </a:defPPr>
          <a:lvl1pPr marL="0" algn="l" defTabSz="685800" rtl="0" eaLnBrk="1" latinLnBrk="0" hangingPunct="1">
            <a:lnSpc>
              <a:spcPct val="100000"/>
            </a:lnSpc>
            <a:spcBef>
              <a:spcPct val="0"/>
            </a:spcBef>
            <a:buNone/>
            <a:defRPr lang="en-US" sz="2000" b="1" kern="1200">
              <a:solidFill>
                <a:schemeClr val="accent5"/>
              </a:solidFill>
              <a:latin typeface="+mj-lt"/>
              <a:ea typeface="+mj-ea"/>
              <a:cs typeface="+mj-cs"/>
              <a:sym typeface="Trebuchet MS" panose="020B0603020202020204" pitchFamily="34" charset="0"/>
            </a:defRPr>
          </a:lvl1pPr>
          <a:lvl2pPr marL="3429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000">
              <a:solidFill>
                <a:schemeClr val="bg1">
                  <a:lumMod val="50000"/>
                </a:schemeClr>
              </a:solidFill>
            </a:rPr>
            <a:t>Sintomas</a:t>
          </a:r>
          <a:endParaRPr lang="es-MX" sz="14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48775</xdr:colOff>
      <xdr:row>2</xdr:row>
      <xdr:rowOff>145594</xdr:rowOff>
    </xdr:from>
    <xdr:to>
      <xdr:col>7</xdr:col>
      <xdr:colOff>744680</xdr:colOff>
      <xdr:row>28</xdr:row>
      <xdr:rowOff>69148</xdr:rowOff>
    </xdr:to>
    <xdr:pic>
      <xdr:nvPicPr>
        <xdr:cNvPr id="22" name="Imagen 21" descr="Árbol de problemas">
          <a:extLst>
            <a:ext uri="{FF2B5EF4-FFF2-40B4-BE49-F238E27FC236}">
              <a16:creationId xmlns:a16="http://schemas.microsoft.com/office/drawing/2014/main" id="{2CBECA49-680A-4E96-B50E-5C8AB2FA2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246250" y="504369"/>
          <a:ext cx="6461705" cy="9677154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391432</xdr:colOff>
      <xdr:row>3</xdr:row>
      <xdr:rowOff>17319</xdr:rowOff>
    </xdr:from>
    <xdr:to>
      <xdr:col>7</xdr:col>
      <xdr:colOff>1292678</xdr:colOff>
      <xdr:row>13</xdr:row>
      <xdr:rowOff>275318</xdr:rowOff>
    </xdr:to>
    <xdr:sp macro="" textlink="">
      <xdr:nvSpPr>
        <xdr:cNvPr id="23" name="Cerrar llave 22">
          <a:extLst>
            <a:ext uri="{FF2B5EF4-FFF2-40B4-BE49-F238E27FC236}">
              <a16:creationId xmlns:a16="http://schemas.microsoft.com/office/drawing/2014/main" id="{EC7C1286-D008-484F-94F5-7E24CA0575F6}"/>
            </a:ext>
          </a:extLst>
        </xdr:cNvPr>
        <xdr:cNvSpPr/>
      </xdr:nvSpPr>
      <xdr:spPr>
        <a:xfrm>
          <a:off x="11351532" y="560244"/>
          <a:ext cx="904421" cy="3347274"/>
        </a:xfrm>
        <a:prstGeom prst="rightBrace">
          <a:avLst/>
        </a:prstGeom>
        <a:ln w="38100"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391432</xdr:colOff>
      <xdr:row>14</xdr:row>
      <xdr:rowOff>0</xdr:rowOff>
    </xdr:from>
    <xdr:to>
      <xdr:col>7</xdr:col>
      <xdr:colOff>1286328</xdr:colOff>
      <xdr:row>15</xdr:row>
      <xdr:rowOff>2355273</xdr:rowOff>
    </xdr:to>
    <xdr:sp macro="" textlink="">
      <xdr:nvSpPr>
        <xdr:cNvPr id="24" name="Cerrar llave 23">
          <a:extLst>
            <a:ext uri="{FF2B5EF4-FFF2-40B4-BE49-F238E27FC236}">
              <a16:creationId xmlns:a16="http://schemas.microsoft.com/office/drawing/2014/main" id="{3BF9E9D8-8995-4D67-AEB2-D892A36A9B13}"/>
            </a:ext>
          </a:extLst>
        </xdr:cNvPr>
        <xdr:cNvSpPr/>
      </xdr:nvSpPr>
      <xdr:spPr>
        <a:xfrm>
          <a:off x="11351532" y="3981450"/>
          <a:ext cx="894896" cy="2685473"/>
        </a:xfrm>
        <a:prstGeom prst="rightBrace">
          <a:avLst/>
        </a:prstGeom>
        <a:ln w="38100"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6</xdr:col>
      <xdr:colOff>2459685</xdr:colOff>
      <xdr:row>27</xdr:row>
      <xdr:rowOff>131077</xdr:rowOff>
    </xdr:from>
    <xdr:to>
      <xdr:col>6</xdr:col>
      <xdr:colOff>3762956</xdr:colOff>
      <xdr:row>35</xdr:row>
      <xdr:rowOff>12120</xdr:rowOff>
    </xdr:to>
    <xdr:pic>
      <xdr:nvPicPr>
        <xdr:cNvPr id="25" name="Gráfico 24" descr="Flecha: recto con relleno sólido">
          <a:extLst>
            <a:ext uri="{FF2B5EF4-FFF2-40B4-BE49-F238E27FC236}">
              <a16:creationId xmlns:a16="http://schemas.microsoft.com/office/drawing/2014/main" id="{DD3B8FEA-AA7D-4376-98D7-1FDD38A4F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 rot="16200000">
          <a:off x="7561824" y="9992713"/>
          <a:ext cx="1497118" cy="1300096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6</xdr:col>
      <xdr:colOff>1522023</xdr:colOff>
      <xdr:row>35</xdr:row>
      <xdr:rowOff>38636</xdr:rowOff>
    </xdr:from>
    <xdr:to>
      <xdr:col>6</xdr:col>
      <xdr:colOff>4685147</xdr:colOff>
      <xdr:row>47</xdr:row>
      <xdr:rowOff>63499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A18D93A6-6187-408E-8A0C-9DBAC0552CE0}"/>
            </a:ext>
          </a:extLst>
        </xdr:cNvPr>
        <xdr:cNvSpPr/>
      </xdr:nvSpPr>
      <xdr:spPr>
        <a:xfrm>
          <a:off x="6697273" y="11548011"/>
          <a:ext cx="3163124" cy="2310863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1596040</xdr:colOff>
      <xdr:row>36</xdr:row>
      <xdr:rowOff>101926</xdr:rowOff>
    </xdr:from>
    <xdr:to>
      <xdr:col>6</xdr:col>
      <xdr:colOff>4703331</xdr:colOff>
      <xdr:row>48</xdr:row>
      <xdr:rowOff>126999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B3F56D87-9659-47E0-9F7F-0B6B660AE34A}"/>
            </a:ext>
          </a:extLst>
        </xdr:cNvPr>
        <xdr:cNvSpPr txBox="1"/>
      </xdr:nvSpPr>
      <xdr:spPr>
        <a:xfrm>
          <a:off x="6771290" y="11801801"/>
          <a:ext cx="3107291" cy="2311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/>
            <a:t>The root cause will be identified through Cause-and-Effect Analysis, the Multi-voting Matrix, and the 5 Whys technique (see the next tab).</a:t>
          </a:r>
        </a:p>
      </xdr:txBody>
    </xdr:sp>
    <xdr:clientData/>
  </xdr:twoCellAnchor>
  <xdr:twoCellAnchor>
    <xdr:from>
      <xdr:col>0</xdr:col>
      <xdr:colOff>588819</xdr:colOff>
      <xdr:row>6</xdr:row>
      <xdr:rowOff>221962</xdr:rowOff>
    </xdr:from>
    <xdr:to>
      <xdr:col>1</xdr:col>
      <xdr:colOff>210994</xdr:colOff>
      <xdr:row>8</xdr:row>
      <xdr:rowOff>37812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88AD421C-A60A-4C8D-B590-C7B738BBD374}"/>
            </a:ext>
          </a:extLst>
        </xdr:cNvPr>
        <xdr:cNvSpPr/>
      </xdr:nvSpPr>
      <xdr:spPr>
        <a:xfrm>
          <a:off x="588819" y="1628487"/>
          <a:ext cx="422275" cy="447675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1</a:t>
          </a:r>
        </a:p>
      </xdr:txBody>
    </xdr:sp>
    <xdr:clientData/>
  </xdr:twoCellAnchor>
  <xdr:twoCellAnchor>
    <xdr:from>
      <xdr:col>0</xdr:col>
      <xdr:colOff>588819</xdr:colOff>
      <xdr:row>8</xdr:row>
      <xdr:rowOff>294411</xdr:rowOff>
    </xdr:from>
    <xdr:to>
      <xdr:col>1</xdr:col>
      <xdr:colOff>210994</xdr:colOff>
      <xdr:row>10</xdr:row>
      <xdr:rowOff>100735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1B2D9D0B-1514-449F-8548-1E1255D3F378}"/>
            </a:ext>
          </a:extLst>
        </xdr:cNvPr>
        <xdr:cNvSpPr/>
      </xdr:nvSpPr>
      <xdr:spPr>
        <a:xfrm>
          <a:off x="588819" y="2335936"/>
          <a:ext cx="422275" cy="434974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2</a:t>
          </a:r>
        </a:p>
      </xdr:txBody>
    </xdr:sp>
    <xdr:clientData/>
  </xdr:twoCellAnchor>
  <xdr:twoCellAnchor>
    <xdr:from>
      <xdr:col>0</xdr:col>
      <xdr:colOff>580736</xdr:colOff>
      <xdr:row>11</xdr:row>
      <xdr:rowOff>192522</xdr:rowOff>
    </xdr:from>
    <xdr:to>
      <xdr:col>1</xdr:col>
      <xdr:colOff>202911</xdr:colOff>
      <xdr:row>12</xdr:row>
      <xdr:rowOff>331356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B0A2E9E3-9B1A-4985-B618-A8337A5EE5B0}"/>
            </a:ext>
          </a:extLst>
        </xdr:cNvPr>
        <xdr:cNvSpPr/>
      </xdr:nvSpPr>
      <xdr:spPr>
        <a:xfrm>
          <a:off x="583911" y="3173847"/>
          <a:ext cx="415925" cy="456334"/>
        </a:xfrm>
        <a:prstGeom prst="ellipse">
          <a:avLst/>
        </a:prstGeom>
        <a:solidFill>
          <a:schemeClr val="tx2"/>
        </a:solidFill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3</a:t>
          </a:r>
        </a:p>
      </xdr:txBody>
    </xdr:sp>
    <xdr:clientData/>
  </xdr:twoCellAnchor>
  <xdr:twoCellAnchor>
    <xdr:from>
      <xdr:col>0</xdr:col>
      <xdr:colOff>583913</xdr:colOff>
      <xdr:row>14</xdr:row>
      <xdr:rowOff>67829</xdr:rowOff>
    </xdr:from>
    <xdr:to>
      <xdr:col>1</xdr:col>
      <xdr:colOff>209263</xdr:colOff>
      <xdr:row>15</xdr:row>
      <xdr:rowOff>143452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4EB5264F-22C7-4748-92F8-42667D654227}"/>
            </a:ext>
          </a:extLst>
        </xdr:cNvPr>
        <xdr:cNvSpPr/>
      </xdr:nvSpPr>
      <xdr:spPr>
        <a:xfrm>
          <a:off x="580738" y="4046104"/>
          <a:ext cx="428625" cy="408998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4</a:t>
          </a:r>
        </a:p>
      </xdr:txBody>
    </xdr:sp>
    <xdr:clientData/>
  </xdr:twoCellAnchor>
  <xdr:twoCellAnchor>
    <xdr:from>
      <xdr:col>7</xdr:col>
      <xdr:colOff>1514476</xdr:colOff>
      <xdr:row>2</xdr:row>
      <xdr:rowOff>72447</xdr:rowOff>
    </xdr:from>
    <xdr:to>
      <xdr:col>8</xdr:col>
      <xdr:colOff>294410</xdr:colOff>
      <xdr:row>4</xdr:row>
      <xdr:rowOff>89765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C0A11F1F-17F6-466D-8C1B-145D051B9F79}"/>
            </a:ext>
          </a:extLst>
        </xdr:cNvPr>
        <xdr:cNvSpPr/>
      </xdr:nvSpPr>
      <xdr:spPr>
        <a:xfrm>
          <a:off x="12474576" y="431222"/>
          <a:ext cx="434109" cy="436418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1</a:t>
          </a:r>
        </a:p>
      </xdr:txBody>
    </xdr:sp>
    <xdr:clientData/>
  </xdr:twoCellAnchor>
  <xdr:twoCellAnchor>
    <xdr:from>
      <xdr:col>7</xdr:col>
      <xdr:colOff>1555461</xdr:colOff>
      <xdr:row>12</xdr:row>
      <xdr:rowOff>256599</xdr:rowOff>
    </xdr:from>
    <xdr:to>
      <xdr:col>8</xdr:col>
      <xdr:colOff>325870</xdr:colOff>
      <xdr:row>14</xdr:row>
      <xdr:rowOff>0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872AFB69-C435-45A9-BDA3-3C7BEF87CCC2}"/>
            </a:ext>
          </a:extLst>
        </xdr:cNvPr>
        <xdr:cNvSpPr/>
      </xdr:nvSpPr>
      <xdr:spPr>
        <a:xfrm>
          <a:off x="12515561" y="3555424"/>
          <a:ext cx="421409" cy="426026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2</a:t>
          </a:r>
        </a:p>
      </xdr:txBody>
    </xdr:sp>
    <xdr:clientData/>
  </xdr:twoCellAnchor>
  <xdr:twoCellAnchor>
    <xdr:from>
      <xdr:col>7</xdr:col>
      <xdr:colOff>1572779</xdr:colOff>
      <xdr:row>25</xdr:row>
      <xdr:rowOff>118055</xdr:rowOff>
    </xdr:from>
    <xdr:to>
      <xdr:col>8</xdr:col>
      <xdr:colOff>346363</xdr:colOff>
      <xdr:row>26</xdr:row>
      <xdr:rowOff>384177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E3E6ACA3-2B92-476B-9C55-ABBFBB4FFB11}"/>
            </a:ext>
          </a:extLst>
        </xdr:cNvPr>
        <xdr:cNvSpPr/>
      </xdr:nvSpPr>
      <xdr:spPr>
        <a:xfrm>
          <a:off x="12532879" y="9312855"/>
          <a:ext cx="427759" cy="447097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3</a:t>
          </a:r>
        </a:p>
      </xdr:txBody>
    </xdr:sp>
    <xdr:clientData/>
  </xdr:twoCellAnchor>
  <xdr:twoCellAnchor>
    <xdr:from>
      <xdr:col>6</xdr:col>
      <xdr:colOff>1371026</xdr:colOff>
      <xdr:row>34</xdr:row>
      <xdr:rowOff>19340</xdr:rowOff>
    </xdr:from>
    <xdr:to>
      <xdr:col>6</xdr:col>
      <xdr:colOff>1789837</xdr:colOff>
      <xdr:row>36</xdr:row>
      <xdr:rowOff>145471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01B59849-6AEB-4CCE-A7F4-941B3A14C896}"/>
            </a:ext>
          </a:extLst>
        </xdr:cNvPr>
        <xdr:cNvSpPr/>
      </xdr:nvSpPr>
      <xdr:spPr>
        <a:xfrm>
          <a:off x="6571676" y="11220740"/>
          <a:ext cx="418811" cy="484906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4</a:t>
          </a:r>
        </a:p>
      </xdr:txBody>
    </xdr:sp>
    <xdr:clientData/>
  </xdr:twoCellAnchor>
  <xdr:twoCellAnchor>
    <xdr:from>
      <xdr:col>1</xdr:col>
      <xdr:colOff>360507</xdr:colOff>
      <xdr:row>6</xdr:row>
      <xdr:rowOff>273915</xdr:rowOff>
    </xdr:from>
    <xdr:to>
      <xdr:col>4</xdr:col>
      <xdr:colOff>654916</xdr:colOff>
      <xdr:row>8</xdr:row>
      <xdr:rowOff>159039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A043985A-200C-421A-BBB6-05244C44C0B7}"/>
            </a:ext>
          </a:extLst>
        </xdr:cNvPr>
        <xdr:cNvSpPr txBox="1"/>
      </xdr:nvSpPr>
      <xdr:spPr>
        <a:xfrm>
          <a:off x="1160607" y="1686790"/>
          <a:ext cx="2697884" cy="513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 b="1"/>
            <a:t>Identify the symptoms</a:t>
          </a:r>
        </a:p>
      </xdr:txBody>
    </xdr:sp>
    <xdr:clientData/>
  </xdr:twoCellAnchor>
  <xdr:twoCellAnchor>
    <xdr:from>
      <xdr:col>1</xdr:col>
      <xdr:colOff>317790</xdr:colOff>
      <xdr:row>9</xdr:row>
      <xdr:rowOff>49356</xdr:rowOff>
    </xdr:from>
    <xdr:to>
      <xdr:col>5</xdr:col>
      <xdr:colOff>626341</xdr:colOff>
      <xdr:row>11</xdr:row>
      <xdr:rowOff>151822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E9B976DE-0D80-48F4-BA3B-E5AC4642858C}"/>
            </a:ext>
          </a:extLst>
        </xdr:cNvPr>
        <xdr:cNvSpPr txBox="1"/>
      </xdr:nvSpPr>
      <xdr:spPr>
        <a:xfrm>
          <a:off x="1111540" y="2446481"/>
          <a:ext cx="3483551" cy="7374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 b="1"/>
            <a:t>Define the problem</a:t>
          </a:r>
        </a:p>
      </xdr:txBody>
    </xdr:sp>
    <xdr:clientData/>
  </xdr:twoCellAnchor>
  <xdr:twoCellAnchor>
    <xdr:from>
      <xdr:col>1</xdr:col>
      <xdr:colOff>323851</xdr:colOff>
      <xdr:row>11</xdr:row>
      <xdr:rowOff>123247</xdr:rowOff>
    </xdr:from>
    <xdr:to>
      <xdr:col>5</xdr:col>
      <xdr:colOff>494145</xdr:colOff>
      <xdr:row>13</xdr:row>
      <xdr:rowOff>342900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59B9C3A2-92A5-40A0-A856-E3D6AE6B5654}"/>
            </a:ext>
          </a:extLst>
        </xdr:cNvPr>
        <xdr:cNvSpPr txBox="1"/>
      </xdr:nvSpPr>
      <xdr:spPr>
        <a:xfrm>
          <a:off x="1123951" y="3107747"/>
          <a:ext cx="3370694" cy="8641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 b="1"/>
            <a:t>Attach photographic evidence of the problem (if applicable)</a:t>
          </a:r>
        </a:p>
      </xdr:txBody>
    </xdr:sp>
    <xdr:clientData/>
  </xdr:twoCellAnchor>
  <xdr:twoCellAnchor>
    <xdr:from>
      <xdr:col>1</xdr:col>
      <xdr:colOff>312595</xdr:colOff>
      <xdr:row>14</xdr:row>
      <xdr:rowOff>9812</xdr:rowOff>
    </xdr:from>
    <xdr:to>
      <xdr:col>5</xdr:col>
      <xdr:colOff>495589</xdr:colOff>
      <xdr:row>15</xdr:row>
      <xdr:rowOff>494722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12A4B8B5-DCD0-4E43-918A-18D4F7E62A0A}"/>
            </a:ext>
          </a:extLst>
        </xdr:cNvPr>
        <xdr:cNvSpPr txBox="1"/>
      </xdr:nvSpPr>
      <xdr:spPr>
        <a:xfrm>
          <a:off x="1115870" y="3988087"/>
          <a:ext cx="3380219" cy="82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 b="1"/>
            <a:t>Continue with the cause-and-effect analysis</a:t>
          </a:r>
        </a:p>
      </xdr:txBody>
    </xdr:sp>
    <xdr:clientData/>
  </xdr:twoCellAnchor>
  <xdr:twoCellAnchor>
    <xdr:from>
      <xdr:col>0</xdr:col>
      <xdr:colOff>426606</xdr:colOff>
      <xdr:row>4</xdr:row>
      <xdr:rowOff>256597</xdr:rowOff>
    </xdr:from>
    <xdr:to>
      <xdr:col>5</xdr:col>
      <xdr:colOff>502228</xdr:colOff>
      <xdr:row>5</xdr:row>
      <xdr:rowOff>297584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147251E-D354-4350-A381-9AEBC57605DF}"/>
            </a:ext>
          </a:extLst>
        </xdr:cNvPr>
        <xdr:cNvSpPr/>
      </xdr:nvSpPr>
      <xdr:spPr>
        <a:xfrm>
          <a:off x="429781" y="1040822"/>
          <a:ext cx="4076122" cy="34896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346365</xdr:colOff>
      <xdr:row>4</xdr:row>
      <xdr:rowOff>180973</xdr:rowOff>
    </xdr:from>
    <xdr:to>
      <xdr:col>4</xdr:col>
      <xdr:colOff>637599</xdr:colOff>
      <xdr:row>6</xdr:row>
      <xdr:rowOff>66096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330339DC-3CB0-4933-B05D-ECCCC0CCFB8B}"/>
            </a:ext>
          </a:extLst>
        </xdr:cNvPr>
        <xdr:cNvSpPr txBox="1"/>
      </xdr:nvSpPr>
      <xdr:spPr>
        <a:xfrm>
          <a:off x="1149640" y="965198"/>
          <a:ext cx="2691534" cy="513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2000" b="1"/>
            <a:t>STEPS</a:t>
          </a:r>
        </a:p>
      </xdr:txBody>
    </xdr:sp>
    <xdr:clientData/>
  </xdr:twoCellAnchor>
  <xdr:twoCellAnchor>
    <xdr:from>
      <xdr:col>0</xdr:col>
      <xdr:colOff>564860</xdr:colOff>
      <xdr:row>15</xdr:row>
      <xdr:rowOff>2084819</xdr:rowOff>
    </xdr:from>
    <xdr:to>
      <xdr:col>5</xdr:col>
      <xdr:colOff>390812</xdr:colOff>
      <xdr:row>15</xdr:row>
      <xdr:rowOff>2617065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107E31F8-AC4E-47F5-8853-6C11244D9226}"/>
            </a:ext>
          </a:extLst>
        </xdr:cNvPr>
        <xdr:cNvSpPr txBox="1"/>
      </xdr:nvSpPr>
      <xdr:spPr>
        <a:xfrm>
          <a:off x="561685" y="6402819"/>
          <a:ext cx="3826452" cy="532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2000" b="1"/>
            <a:t>DEFINITIONS</a:t>
          </a:r>
        </a:p>
      </xdr:txBody>
    </xdr:sp>
    <xdr:clientData/>
  </xdr:twoCellAnchor>
  <xdr:twoCellAnchor>
    <xdr:from>
      <xdr:col>0</xdr:col>
      <xdr:colOff>533400</xdr:colOff>
      <xdr:row>15</xdr:row>
      <xdr:rowOff>2495550</xdr:rowOff>
    </xdr:from>
    <xdr:to>
      <xdr:col>5</xdr:col>
      <xdr:colOff>361950</xdr:colOff>
      <xdr:row>27</xdr:row>
      <xdr:rowOff>342900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7310E4B8-C9D6-40C6-889F-4EC853189604}"/>
            </a:ext>
          </a:extLst>
        </xdr:cNvPr>
        <xdr:cNvSpPr/>
      </xdr:nvSpPr>
      <xdr:spPr>
        <a:xfrm>
          <a:off x="533400" y="6861175"/>
          <a:ext cx="3797300" cy="3308350"/>
        </a:xfrm>
        <a:prstGeom prst="rect">
          <a:avLst/>
        </a:prstGeom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533400</xdr:colOff>
      <xdr:row>15</xdr:row>
      <xdr:rowOff>2095500</xdr:rowOff>
    </xdr:from>
    <xdr:to>
      <xdr:col>5</xdr:col>
      <xdr:colOff>361950</xdr:colOff>
      <xdr:row>15</xdr:row>
      <xdr:rowOff>2438400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54105222-5D99-46BE-A4EC-6939C01D8986}"/>
            </a:ext>
          </a:extLst>
        </xdr:cNvPr>
        <xdr:cNvSpPr/>
      </xdr:nvSpPr>
      <xdr:spPr>
        <a:xfrm>
          <a:off x="533400" y="6410325"/>
          <a:ext cx="3829050" cy="342900"/>
        </a:xfrm>
        <a:prstGeom prst="rect">
          <a:avLst/>
        </a:prstGeom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97633</xdr:colOff>
      <xdr:row>24</xdr:row>
      <xdr:rowOff>67128</xdr:rowOff>
    </xdr:from>
    <xdr:to>
      <xdr:col>7</xdr:col>
      <xdr:colOff>520701</xdr:colOff>
      <xdr:row>41</xdr:row>
      <xdr:rowOff>135653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83B08498-C4C2-4CA6-A39E-62C166290377}"/>
            </a:ext>
          </a:extLst>
        </xdr:cNvPr>
        <xdr:cNvCxnSpPr>
          <a:stCxn id="3" idx="0"/>
        </xdr:cNvCxnSpPr>
      </xdr:nvCxnSpPr>
      <xdr:spPr>
        <a:xfrm flipV="1">
          <a:off x="9976419" y="5537199"/>
          <a:ext cx="1225889" cy="4096240"/>
        </a:xfrm>
        <a:prstGeom prst="line">
          <a:avLst/>
        </a:prstGeom>
        <a:ln w="57150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2297907</xdr:colOff>
      <xdr:row>41</xdr:row>
      <xdr:rowOff>135653</xdr:rowOff>
    </xdr:from>
    <xdr:to>
      <xdr:col>7</xdr:col>
      <xdr:colOff>377826</xdr:colOff>
      <xdr:row>44</xdr:row>
      <xdr:rowOff>143061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3B710F6-4684-41DA-9CA5-D02C58A9FA8D}"/>
            </a:ext>
          </a:extLst>
        </xdr:cNvPr>
        <xdr:cNvSpPr/>
      </xdr:nvSpPr>
      <xdr:spPr>
        <a:xfrm>
          <a:off x="8910978" y="9633439"/>
          <a:ext cx="2148455" cy="606122"/>
        </a:xfrm>
        <a:prstGeom prst="rect">
          <a:avLst/>
        </a:prstGeom>
        <a:solidFill>
          <a:schemeClr val="tx2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METHOD</a:t>
          </a:r>
        </a:p>
      </xdr:txBody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46264</xdr:rowOff>
    </xdr:to>
    <xdr:sp macro="" textlink="">
      <xdr:nvSpPr>
        <xdr:cNvPr id="10" name="AutoShape 1" descr="Vista previa de imagen">
          <a:extLst>
            <a:ext uri="{FF2B5EF4-FFF2-40B4-BE49-F238E27FC236}">
              <a16:creationId xmlns:a16="http://schemas.microsoft.com/office/drawing/2014/main" id="{A5CE910E-6452-46DB-9A5D-75663F7A17BB}"/>
            </a:ext>
          </a:extLst>
        </xdr:cNvPr>
        <xdr:cNvSpPr>
          <a:spLocks noChangeAspect="1" noChangeArrowheads="1"/>
        </xdr:cNvSpPr>
      </xdr:nvSpPr>
      <xdr:spPr bwMode="auto">
        <a:xfrm>
          <a:off x="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217487</xdr:colOff>
      <xdr:row>23</xdr:row>
      <xdr:rowOff>122765</xdr:rowOff>
    </xdr:from>
    <xdr:to>
      <xdr:col>13</xdr:col>
      <xdr:colOff>738187</xdr:colOff>
      <xdr:row>24</xdr:row>
      <xdr:rowOff>142874</xdr:rowOff>
    </xdr:to>
    <xdr:sp macro="" textlink="">
      <xdr:nvSpPr>
        <xdr:cNvPr id="11" name="Flecha: a la derecha 10">
          <a:extLst>
            <a:ext uri="{FF2B5EF4-FFF2-40B4-BE49-F238E27FC236}">
              <a16:creationId xmlns:a16="http://schemas.microsoft.com/office/drawing/2014/main" id="{28C6B899-F091-9E12-97CA-0C4EFE08F1C5}"/>
            </a:ext>
          </a:extLst>
        </xdr:cNvPr>
        <xdr:cNvSpPr/>
      </xdr:nvSpPr>
      <xdr:spPr>
        <a:xfrm>
          <a:off x="1015206" y="4492359"/>
          <a:ext cx="17522825" cy="198703"/>
        </a:xfrm>
        <a:prstGeom prst="rightArrow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006600"/>
            </a:solidFill>
          </a:endParaRPr>
        </a:p>
      </xdr:txBody>
    </xdr:sp>
    <xdr:clientData/>
  </xdr:twoCellAnchor>
  <xdr:twoCellAnchor>
    <xdr:from>
      <xdr:col>2</xdr:col>
      <xdr:colOff>135731</xdr:colOff>
      <xdr:row>5</xdr:row>
      <xdr:rowOff>166952</xdr:rowOff>
    </xdr:from>
    <xdr:to>
      <xdr:col>4</xdr:col>
      <xdr:colOff>371739</xdr:colOff>
      <xdr:row>23</xdr:row>
      <xdr:rowOff>174095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78E83A18-AC3E-C832-5821-A7C6D0B6A5E6}"/>
            </a:ext>
          </a:extLst>
        </xdr:cNvPr>
        <xdr:cNvCxnSpPr/>
      </xdr:nvCxnSpPr>
      <xdr:spPr>
        <a:xfrm flipH="1" flipV="1">
          <a:off x="3326606" y="1274233"/>
          <a:ext cx="1831446" cy="3305175"/>
        </a:xfrm>
        <a:prstGeom prst="line">
          <a:avLst/>
        </a:prstGeom>
        <a:ln w="57150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221853</xdr:colOff>
      <xdr:row>5</xdr:row>
      <xdr:rowOff>141817</xdr:rowOff>
    </xdr:from>
    <xdr:to>
      <xdr:col>7</xdr:col>
      <xdr:colOff>501915</xdr:colOff>
      <xdr:row>23</xdr:row>
      <xdr:rowOff>153192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131534AB-492E-4932-AF8D-0F5EE28EA94E}"/>
            </a:ext>
          </a:extLst>
        </xdr:cNvPr>
        <xdr:cNvCxnSpPr/>
      </xdr:nvCxnSpPr>
      <xdr:spPr>
        <a:xfrm flipH="1" flipV="1">
          <a:off x="10080228" y="1249098"/>
          <a:ext cx="1077781" cy="3273688"/>
        </a:xfrm>
        <a:prstGeom prst="line">
          <a:avLst/>
        </a:prstGeom>
        <a:ln w="57150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404812</xdr:colOff>
      <xdr:row>6</xdr:row>
      <xdr:rowOff>0</xdr:rowOff>
    </xdr:from>
    <xdr:to>
      <xdr:col>12</xdr:col>
      <xdr:colOff>160338</xdr:colOff>
      <xdr:row>23</xdr:row>
      <xdr:rowOff>142080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D667FEF7-EB3F-4912-B97E-24851B326824}"/>
            </a:ext>
          </a:extLst>
        </xdr:cNvPr>
        <xdr:cNvCxnSpPr/>
      </xdr:nvCxnSpPr>
      <xdr:spPr>
        <a:xfrm flipH="1" flipV="1">
          <a:off x="15585281" y="1333500"/>
          <a:ext cx="1350963" cy="3178174"/>
        </a:xfrm>
        <a:prstGeom prst="line">
          <a:avLst/>
        </a:prstGeom>
        <a:ln w="57150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726281</xdr:colOff>
      <xdr:row>24</xdr:row>
      <xdr:rowOff>105834</xdr:rowOff>
    </xdr:from>
    <xdr:to>
      <xdr:col>12</xdr:col>
      <xdr:colOff>134938</xdr:colOff>
      <xdr:row>41</xdr:row>
      <xdr:rowOff>154781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AAF8D326-5DEA-442D-893D-4A61959F74B3}"/>
            </a:ext>
          </a:extLst>
        </xdr:cNvPr>
        <xdr:cNvCxnSpPr/>
      </xdr:nvCxnSpPr>
      <xdr:spPr>
        <a:xfrm flipV="1">
          <a:off x="15906750" y="4654022"/>
          <a:ext cx="1004094" cy="3168384"/>
        </a:xfrm>
        <a:prstGeom prst="line">
          <a:avLst/>
        </a:prstGeom>
        <a:ln w="57150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11906</xdr:colOff>
      <xdr:row>24</xdr:row>
      <xdr:rowOff>103718</xdr:rowOff>
    </xdr:from>
    <xdr:to>
      <xdr:col>4</xdr:col>
      <xdr:colOff>363008</xdr:colOff>
      <xdr:row>42</xdr:row>
      <xdr:rowOff>11906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46DAE268-D9E2-4843-A66D-DE0F5F225986}"/>
            </a:ext>
          </a:extLst>
        </xdr:cNvPr>
        <xdr:cNvCxnSpPr/>
      </xdr:nvCxnSpPr>
      <xdr:spPr>
        <a:xfrm flipV="1">
          <a:off x="4798219" y="4651906"/>
          <a:ext cx="1148820" cy="3146688"/>
        </a:xfrm>
        <a:prstGeom prst="line">
          <a:avLst/>
        </a:prstGeom>
        <a:ln w="57150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2405062</xdr:colOff>
      <xdr:row>3</xdr:row>
      <xdr:rowOff>7408</xdr:rowOff>
    </xdr:from>
    <xdr:to>
      <xdr:col>3</xdr:col>
      <xdr:colOff>312737</xdr:colOff>
      <xdr:row>5</xdr:row>
      <xdr:rowOff>164042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D6F857A6-5C00-5056-7E58-58B3E695756D}"/>
            </a:ext>
          </a:extLst>
        </xdr:cNvPr>
        <xdr:cNvSpPr/>
      </xdr:nvSpPr>
      <xdr:spPr>
        <a:xfrm>
          <a:off x="3202781" y="721783"/>
          <a:ext cx="2110581" cy="549540"/>
        </a:xfrm>
        <a:prstGeom prst="rect">
          <a:avLst/>
        </a:prstGeom>
        <a:solidFill>
          <a:schemeClr val="tx2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PEOPLE</a:t>
          </a:r>
        </a:p>
      </xdr:txBody>
    </xdr:sp>
    <xdr:clientData/>
  </xdr:twoCellAnchor>
  <xdr:twoCellAnchor>
    <xdr:from>
      <xdr:col>5</xdr:col>
      <xdr:colOff>2226468</xdr:colOff>
      <xdr:row>3</xdr:row>
      <xdr:rowOff>7408</xdr:rowOff>
    </xdr:from>
    <xdr:to>
      <xdr:col>7</xdr:col>
      <xdr:colOff>294214</xdr:colOff>
      <xdr:row>5</xdr:row>
      <xdr:rowOff>160867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C1197162-54A5-4960-8F2C-3FD671F8E257}"/>
            </a:ext>
          </a:extLst>
        </xdr:cNvPr>
        <xdr:cNvSpPr/>
      </xdr:nvSpPr>
      <xdr:spPr>
        <a:xfrm>
          <a:off x="8818923" y="723226"/>
          <a:ext cx="2131746" cy="557550"/>
        </a:xfrm>
        <a:prstGeom prst="rect">
          <a:avLst/>
        </a:prstGeom>
        <a:solidFill>
          <a:schemeClr val="tx2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MACHINE</a:t>
          </a:r>
        </a:p>
      </xdr:txBody>
    </xdr:sp>
    <xdr:clientData/>
  </xdr:twoCellAnchor>
  <xdr:twoCellAnchor>
    <xdr:from>
      <xdr:col>1</xdr:col>
      <xdr:colOff>2790486</xdr:colOff>
      <xdr:row>41</xdr:row>
      <xdr:rowOff>193710</xdr:rowOff>
    </xdr:from>
    <xdr:to>
      <xdr:col>3</xdr:col>
      <xdr:colOff>733086</xdr:colOff>
      <xdr:row>44</xdr:row>
      <xdr:rowOff>142610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18421C5-1C6C-4ABC-A555-F7C74B9B39A5}"/>
            </a:ext>
          </a:extLst>
        </xdr:cNvPr>
        <xdr:cNvSpPr/>
      </xdr:nvSpPr>
      <xdr:spPr>
        <a:xfrm>
          <a:off x="3593307" y="9691496"/>
          <a:ext cx="2147208" cy="547614"/>
        </a:xfrm>
        <a:prstGeom prst="rect">
          <a:avLst/>
        </a:prstGeom>
        <a:solidFill>
          <a:schemeClr val="tx2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MATERIAL</a:t>
          </a:r>
        </a:p>
      </xdr:txBody>
    </xdr:sp>
    <xdr:clientData/>
  </xdr:twoCellAnchor>
  <xdr:twoCellAnchor>
    <xdr:from>
      <xdr:col>9</xdr:col>
      <xdr:colOff>2478428</xdr:colOff>
      <xdr:row>41</xdr:row>
      <xdr:rowOff>173866</xdr:rowOff>
    </xdr:from>
    <xdr:to>
      <xdr:col>12</xdr:col>
      <xdr:colOff>124166</xdr:colOff>
      <xdr:row>44</xdr:row>
      <xdr:rowOff>103716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455736EA-68F7-4BB0-AA60-D8AF7E43CD3A}"/>
            </a:ext>
          </a:extLst>
        </xdr:cNvPr>
        <xdr:cNvSpPr/>
      </xdr:nvSpPr>
      <xdr:spPr>
        <a:xfrm>
          <a:off x="14728155" y="9352502"/>
          <a:ext cx="2171556" cy="622578"/>
        </a:xfrm>
        <a:prstGeom prst="rect">
          <a:avLst/>
        </a:prstGeom>
        <a:solidFill>
          <a:schemeClr val="tx2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MEASUREMENT</a:t>
          </a:r>
        </a:p>
      </xdr:txBody>
    </xdr:sp>
    <xdr:clientData/>
  </xdr:twoCellAnchor>
  <xdr:oneCellAnchor>
    <xdr:from>
      <xdr:col>5</xdr:col>
      <xdr:colOff>0</xdr:colOff>
      <xdr:row>37</xdr:row>
      <xdr:rowOff>0</xdr:rowOff>
    </xdr:from>
    <xdr:ext cx="304800" cy="302418"/>
    <xdr:sp macro="" textlink="">
      <xdr:nvSpPr>
        <xdr:cNvPr id="5" name="AutoShape 1" descr="Vista previa de imagen">
          <a:extLst>
            <a:ext uri="{FF2B5EF4-FFF2-40B4-BE49-F238E27FC236}">
              <a16:creationId xmlns:a16="http://schemas.microsoft.com/office/drawing/2014/main" id="{8AA1511D-2C3D-40B1-8B24-7A9BEF0E2C28}"/>
            </a:ext>
          </a:extLst>
        </xdr:cNvPr>
        <xdr:cNvSpPr>
          <a:spLocks noChangeAspect="1" noChangeArrowheads="1"/>
        </xdr:cNvSpPr>
      </xdr:nvSpPr>
      <xdr:spPr bwMode="auto">
        <a:xfrm>
          <a:off x="797719" y="6893719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37</xdr:row>
      <xdr:rowOff>0</xdr:rowOff>
    </xdr:from>
    <xdr:ext cx="304800" cy="305593"/>
    <xdr:sp macro="" textlink="">
      <xdr:nvSpPr>
        <xdr:cNvPr id="6" name="AutoShape 1" descr="Vista previa de imagen">
          <a:extLst>
            <a:ext uri="{FF2B5EF4-FFF2-40B4-BE49-F238E27FC236}">
              <a16:creationId xmlns:a16="http://schemas.microsoft.com/office/drawing/2014/main" id="{89FF772F-3BA0-4324-873F-DA87A01E1B2A}"/>
            </a:ext>
          </a:extLst>
        </xdr:cNvPr>
        <xdr:cNvSpPr>
          <a:spLocks noChangeAspect="1" noChangeArrowheads="1"/>
        </xdr:cNvSpPr>
      </xdr:nvSpPr>
      <xdr:spPr bwMode="auto">
        <a:xfrm>
          <a:off x="797719" y="6893719"/>
          <a:ext cx="304800" cy="305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9</xdr:col>
      <xdr:colOff>2163762</xdr:colOff>
      <xdr:row>3</xdr:row>
      <xdr:rowOff>27022</xdr:rowOff>
    </xdr:from>
    <xdr:to>
      <xdr:col>11</xdr:col>
      <xdr:colOff>592930</xdr:colOff>
      <xdr:row>5</xdr:row>
      <xdr:rowOff>167780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1153E7C4-D4BE-4EA7-BD0C-92BF658172E3}"/>
            </a:ext>
          </a:extLst>
        </xdr:cNvPr>
        <xdr:cNvSpPr/>
      </xdr:nvSpPr>
      <xdr:spPr>
        <a:xfrm>
          <a:off x="14451012" y="734593"/>
          <a:ext cx="2171132" cy="535366"/>
        </a:xfrm>
        <a:prstGeom prst="rect">
          <a:avLst/>
        </a:prstGeom>
        <a:solidFill>
          <a:schemeClr val="tx2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ENVIROMENT</a:t>
          </a:r>
        </a:p>
      </xdr:txBody>
    </xdr:sp>
    <xdr:clientData/>
  </xdr:twoCellAnchor>
  <xdr:twoCellAnchor>
    <xdr:from>
      <xdr:col>14</xdr:col>
      <xdr:colOff>2543490</xdr:colOff>
      <xdr:row>17</xdr:row>
      <xdr:rowOff>218163</xdr:rowOff>
    </xdr:from>
    <xdr:to>
      <xdr:col>16</xdr:col>
      <xdr:colOff>469341</xdr:colOff>
      <xdr:row>30</xdr:row>
      <xdr:rowOff>48722</xdr:rowOff>
    </xdr:to>
    <xdr:sp macro="" textlink="">
      <xdr:nvSpPr>
        <xdr:cNvPr id="7" name="Triángulo rectángulo 6">
          <a:extLst>
            <a:ext uri="{FF2B5EF4-FFF2-40B4-BE49-F238E27FC236}">
              <a16:creationId xmlns:a16="http://schemas.microsoft.com/office/drawing/2014/main" id="{E64F9A48-D724-A9EB-4F22-7089CC2508DE}"/>
            </a:ext>
          </a:extLst>
        </xdr:cNvPr>
        <xdr:cNvSpPr/>
      </xdr:nvSpPr>
      <xdr:spPr>
        <a:xfrm rot="13365756">
          <a:off x="20945790" y="4066263"/>
          <a:ext cx="2459751" cy="2678534"/>
        </a:xfrm>
        <a:prstGeom prst="rtTriangle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323396</xdr:colOff>
      <xdr:row>19</xdr:row>
      <xdr:rowOff>54428</xdr:rowOff>
    </xdr:from>
    <xdr:to>
      <xdr:col>15</xdr:col>
      <xdr:colOff>609146</xdr:colOff>
      <xdr:row>20</xdr:row>
      <xdr:rowOff>136071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7029FD56-1245-BB8F-B6B2-284C55419CD0}"/>
            </a:ext>
          </a:extLst>
        </xdr:cNvPr>
        <xdr:cNvSpPr/>
      </xdr:nvSpPr>
      <xdr:spPr>
        <a:xfrm>
          <a:off x="22489432" y="4435928"/>
          <a:ext cx="285750" cy="326572"/>
        </a:xfrm>
        <a:prstGeom prst="ellipse">
          <a:avLst/>
        </a:prstGeom>
        <a:solidFill>
          <a:schemeClr val="bg2">
            <a:lumMod val="75000"/>
          </a:schemeClr>
        </a:solidFill>
        <a:ln w="28575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783564</xdr:colOff>
      <xdr:row>18</xdr:row>
      <xdr:rowOff>100940</xdr:rowOff>
    </xdr:from>
    <xdr:to>
      <xdr:col>25</xdr:col>
      <xdr:colOff>421821</xdr:colOff>
      <xdr:row>30</xdr:row>
      <xdr:rowOff>207819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63554ED-8164-4A2A-8012-BBA43BF75320}"/>
            </a:ext>
          </a:extLst>
        </xdr:cNvPr>
        <xdr:cNvSpPr/>
      </xdr:nvSpPr>
      <xdr:spPr>
        <a:xfrm>
          <a:off x="24474837" y="4188031"/>
          <a:ext cx="6011348" cy="272192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ES" sz="1100">
              <a:solidFill>
                <a:schemeClr val="lt1"/>
              </a:solidFill>
              <a:latin typeface="+mn-lt"/>
              <a:ea typeface="+mn-ea"/>
              <a:cs typeface="+mn-cs"/>
            </a:rPr>
            <a:t>ss	on</a:t>
          </a:r>
        </a:p>
      </xdr:txBody>
    </xdr:sp>
    <xdr:clientData/>
  </xdr:twoCellAnchor>
  <xdr:twoCellAnchor>
    <xdr:from>
      <xdr:col>18</xdr:col>
      <xdr:colOff>146131</xdr:colOff>
      <xdr:row>19</xdr:row>
      <xdr:rowOff>49896</xdr:rowOff>
    </xdr:from>
    <xdr:to>
      <xdr:col>18</xdr:col>
      <xdr:colOff>558881</xdr:colOff>
      <xdr:row>21</xdr:row>
      <xdr:rowOff>22721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A99BC754-193E-4EFC-8192-CB32C768B26F}"/>
            </a:ext>
          </a:extLst>
        </xdr:cNvPr>
        <xdr:cNvSpPr/>
      </xdr:nvSpPr>
      <xdr:spPr>
        <a:xfrm>
          <a:off x="24634040" y="4379441"/>
          <a:ext cx="412750" cy="457735"/>
        </a:xfrm>
        <a:prstGeom prst="ellipse">
          <a:avLst/>
        </a:prstGeom>
        <a:solidFill>
          <a:schemeClr val="tx2"/>
        </a:solidFill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1</a:t>
          </a:r>
        </a:p>
      </xdr:txBody>
    </xdr:sp>
    <xdr:clientData/>
  </xdr:twoCellAnchor>
  <xdr:twoCellAnchor>
    <xdr:from>
      <xdr:col>18</xdr:col>
      <xdr:colOff>176520</xdr:colOff>
      <xdr:row>22</xdr:row>
      <xdr:rowOff>123086</xdr:rowOff>
    </xdr:from>
    <xdr:to>
      <xdr:col>18</xdr:col>
      <xdr:colOff>586095</xdr:colOff>
      <xdr:row>25</xdr:row>
      <xdr:rowOff>26516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771F7E5A-A45A-4C42-A0F7-BA42B80516C7}"/>
            </a:ext>
          </a:extLst>
        </xdr:cNvPr>
        <xdr:cNvSpPr/>
      </xdr:nvSpPr>
      <xdr:spPr>
        <a:xfrm>
          <a:off x="24664429" y="5179995"/>
          <a:ext cx="409575" cy="422976"/>
        </a:xfrm>
        <a:prstGeom prst="ellipse">
          <a:avLst/>
        </a:prstGeom>
        <a:solidFill>
          <a:schemeClr val="tx2"/>
        </a:solidFill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2</a:t>
          </a:r>
        </a:p>
      </xdr:txBody>
    </xdr:sp>
    <xdr:clientData/>
  </xdr:twoCellAnchor>
  <xdr:twoCellAnchor>
    <xdr:from>
      <xdr:col>18</xdr:col>
      <xdr:colOff>175694</xdr:colOff>
      <xdr:row>27</xdr:row>
      <xdr:rowOff>95088</xdr:rowOff>
    </xdr:from>
    <xdr:to>
      <xdr:col>18</xdr:col>
      <xdr:colOff>585269</xdr:colOff>
      <xdr:row>29</xdr:row>
      <xdr:rowOff>64739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C5EA27C7-A331-4568-921E-4EC0219489BB}"/>
            </a:ext>
          </a:extLst>
        </xdr:cNvPr>
        <xdr:cNvSpPr/>
      </xdr:nvSpPr>
      <xdr:spPr>
        <a:xfrm>
          <a:off x="24663603" y="6069861"/>
          <a:ext cx="409575" cy="454560"/>
        </a:xfrm>
        <a:prstGeom prst="ellipse">
          <a:avLst/>
        </a:prstGeom>
        <a:solidFill>
          <a:schemeClr val="tx2"/>
        </a:solidFill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3</a:t>
          </a:r>
        </a:p>
      </xdr:txBody>
    </xdr:sp>
    <xdr:clientData/>
  </xdr:twoCellAnchor>
  <xdr:twoCellAnchor>
    <xdr:from>
      <xdr:col>18</xdr:col>
      <xdr:colOff>670747</xdr:colOff>
      <xdr:row>18</xdr:row>
      <xdr:rowOff>214582</xdr:rowOff>
    </xdr:from>
    <xdr:to>
      <xdr:col>25</xdr:col>
      <xdr:colOff>275317</xdr:colOff>
      <xdr:row>22</xdr:row>
      <xdr:rowOff>45069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B579D86A-0F06-4150-81DC-7E2894939C8E}"/>
            </a:ext>
          </a:extLst>
        </xdr:cNvPr>
        <xdr:cNvSpPr txBox="1"/>
      </xdr:nvSpPr>
      <xdr:spPr>
        <a:xfrm>
          <a:off x="25158656" y="4301673"/>
          <a:ext cx="5181025" cy="800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 b="1"/>
            <a:t>Brainstorm possible causes according to their category</a:t>
          </a:r>
        </a:p>
        <a:p>
          <a:endParaRPr lang="es-ES" sz="2000" b="1"/>
        </a:p>
      </xdr:txBody>
    </xdr:sp>
    <xdr:clientData/>
  </xdr:twoCellAnchor>
  <xdr:twoCellAnchor>
    <xdr:from>
      <xdr:col>18</xdr:col>
      <xdr:colOff>642998</xdr:colOff>
      <xdr:row>22</xdr:row>
      <xdr:rowOff>79458</xdr:rowOff>
    </xdr:from>
    <xdr:to>
      <xdr:col>25</xdr:col>
      <xdr:colOff>445860</xdr:colOff>
      <xdr:row>26</xdr:row>
      <xdr:rowOff>120156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1DC50746-9C22-4304-827C-0F458EC9F890}"/>
            </a:ext>
          </a:extLst>
        </xdr:cNvPr>
        <xdr:cNvSpPr txBox="1"/>
      </xdr:nvSpPr>
      <xdr:spPr>
        <a:xfrm>
          <a:off x="25130907" y="5136367"/>
          <a:ext cx="5379317" cy="716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 b="1"/>
            <a:t>Select the causes that directly impact the problem and write them in the corresponding box</a:t>
          </a:r>
        </a:p>
      </xdr:txBody>
    </xdr:sp>
    <xdr:clientData/>
  </xdr:twoCellAnchor>
  <xdr:twoCellAnchor>
    <xdr:from>
      <xdr:col>18</xdr:col>
      <xdr:colOff>668562</xdr:colOff>
      <xdr:row>27</xdr:row>
      <xdr:rowOff>83417</xdr:rowOff>
    </xdr:from>
    <xdr:to>
      <xdr:col>25</xdr:col>
      <xdr:colOff>353784</xdr:colOff>
      <xdr:row>30</xdr:row>
      <xdr:rowOff>206460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58643C2D-7B1A-4A55-865C-5D8839F1059B}"/>
            </a:ext>
          </a:extLst>
        </xdr:cNvPr>
        <xdr:cNvSpPr txBox="1"/>
      </xdr:nvSpPr>
      <xdr:spPr>
        <a:xfrm>
          <a:off x="25156471" y="6058190"/>
          <a:ext cx="5261677" cy="850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 b="1"/>
            <a:t>Continue with the Multi-Voting Matrix (next tab).</a:t>
          </a:r>
        </a:p>
      </xdr:txBody>
    </xdr:sp>
    <xdr:clientData/>
  </xdr:twoCellAnchor>
  <xdr:twoCellAnchor>
    <xdr:from>
      <xdr:col>17</xdr:col>
      <xdr:colOff>786739</xdr:colOff>
      <xdr:row>16</xdr:row>
      <xdr:rowOff>194377</xdr:rowOff>
    </xdr:from>
    <xdr:to>
      <xdr:col>25</xdr:col>
      <xdr:colOff>411389</xdr:colOff>
      <xdr:row>18</xdr:row>
      <xdr:rowOff>51007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21F89674-C02F-4CDD-845A-9C3341EB0EC8}"/>
            </a:ext>
          </a:extLst>
        </xdr:cNvPr>
        <xdr:cNvSpPr/>
      </xdr:nvSpPr>
      <xdr:spPr>
        <a:xfrm>
          <a:off x="24478012" y="3796559"/>
          <a:ext cx="5997741" cy="34153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19008</xdr:colOff>
      <xdr:row>16</xdr:row>
      <xdr:rowOff>122464</xdr:rowOff>
    </xdr:from>
    <xdr:to>
      <xdr:col>23</xdr:col>
      <xdr:colOff>313953</xdr:colOff>
      <xdr:row>18</xdr:row>
      <xdr:rowOff>137019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EF9E6667-B741-4EF6-B062-B7666A7B57EE}"/>
            </a:ext>
          </a:extLst>
        </xdr:cNvPr>
        <xdr:cNvSpPr txBox="1"/>
      </xdr:nvSpPr>
      <xdr:spPr>
        <a:xfrm>
          <a:off x="26100190" y="3724646"/>
          <a:ext cx="2684854" cy="499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2000" b="1"/>
            <a:t>STEPS</a:t>
          </a:r>
        </a:p>
      </xdr:txBody>
    </xdr:sp>
    <xdr:clientData/>
  </xdr:twoCellAnchor>
  <xdr:twoCellAnchor>
    <xdr:from>
      <xdr:col>0</xdr:col>
      <xdr:colOff>612321</xdr:colOff>
      <xdr:row>22</xdr:row>
      <xdr:rowOff>142421</xdr:rowOff>
    </xdr:from>
    <xdr:to>
      <xdr:col>1</xdr:col>
      <xdr:colOff>215900</xdr:colOff>
      <xdr:row>25</xdr:row>
      <xdr:rowOff>59418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F552A68C-6A9C-4076-9C42-11CBCE903663}"/>
            </a:ext>
          </a:extLst>
        </xdr:cNvPr>
        <xdr:cNvSpPr/>
      </xdr:nvSpPr>
      <xdr:spPr>
        <a:xfrm>
          <a:off x="612321" y="5258707"/>
          <a:ext cx="406400" cy="447675"/>
        </a:xfrm>
        <a:prstGeom prst="ellipse">
          <a:avLst/>
        </a:prstGeom>
        <a:solidFill>
          <a:schemeClr val="tx2"/>
        </a:solidFill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1</a:t>
          </a:r>
        </a:p>
      </xdr:txBody>
    </xdr:sp>
    <xdr:clientData/>
  </xdr:twoCellAnchor>
  <xdr:twoCellAnchor>
    <xdr:from>
      <xdr:col>13</xdr:col>
      <xdr:colOff>641637</xdr:colOff>
      <xdr:row>34</xdr:row>
      <xdr:rowOff>69894</xdr:rowOff>
    </xdr:from>
    <xdr:to>
      <xdr:col>14</xdr:col>
      <xdr:colOff>245215</xdr:colOff>
      <xdr:row>35</xdr:row>
      <xdr:rowOff>288061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832BFEDE-AB3D-456E-9B61-0308A8922EDB}"/>
            </a:ext>
          </a:extLst>
        </xdr:cNvPr>
        <xdr:cNvSpPr/>
      </xdr:nvSpPr>
      <xdr:spPr>
        <a:xfrm>
          <a:off x="18276494" y="7839573"/>
          <a:ext cx="406400" cy="422274"/>
        </a:xfrm>
        <a:prstGeom prst="ellipse">
          <a:avLst/>
        </a:prstGeom>
        <a:solidFill>
          <a:schemeClr val="tx2"/>
        </a:solidFill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41</xdr:row>
      <xdr:rowOff>126998</xdr:rowOff>
    </xdr:to>
    <xdr:sp macro="" textlink="">
      <xdr:nvSpPr>
        <xdr:cNvPr id="2" name="AutoShape 1" descr="Vista previa de imagen">
          <a:extLst>
            <a:ext uri="{FF2B5EF4-FFF2-40B4-BE49-F238E27FC236}">
              <a16:creationId xmlns:a16="http://schemas.microsoft.com/office/drawing/2014/main" id="{7CF7F910-AC10-45A2-9556-2B1137AFAF59}"/>
            </a:ext>
          </a:extLst>
        </xdr:cNvPr>
        <xdr:cNvSpPr>
          <a:spLocks noChangeAspect="1" noChangeArrowheads="1"/>
        </xdr:cNvSpPr>
      </xdr:nvSpPr>
      <xdr:spPr bwMode="auto">
        <a:xfrm>
          <a:off x="0" y="7305675"/>
          <a:ext cx="304800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26351</xdr:colOff>
      <xdr:row>17</xdr:row>
      <xdr:rowOff>82921</xdr:rowOff>
    </xdr:from>
    <xdr:to>
      <xdr:col>13</xdr:col>
      <xdr:colOff>178172</xdr:colOff>
      <xdr:row>29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90F55F1-3899-4859-8F2A-77B206918943}"/>
            </a:ext>
          </a:extLst>
        </xdr:cNvPr>
        <xdr:cNvSpPr/>
      </xdr:nvSpPr>
      <xdr:spPr>
        <a:xfrm>
          <a:off x="3246708" y="6342207"/>
          <a:ext cx="9892268" cy="2094222"/>
        </a:xfrm>
        <a:prstGeom prst="rect">
          <a:avLst/>
        </a:prstGeom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102252</xdr:colOff>
      <xdr:row>17</xdr:row>
      <xdr:rowOff>66521</xdr:rowOff>
    </xdr:from>
    <xdr:to>
      <xdr:col>5</xdr:col>
      <xdr:colOff>2739118</xdr:colOff>
      <xdr:row>19</xdr:row>
      <xdr:rowOff>179943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E5D0DA8-E425-4969-8756-4DFE98722857}"/>
            </a:ext>
          </a:extLst>
        </xdr:cNvPr>
        <xdr:cNvSpPr txBox="1"/>
      </xdr:nvSpPr>
      <xdr:spPr>
        <a:xfrm>
          <a:off x="3526716" y="6325807"/>
          <a:ext cx="2636866" cy="4762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/>
            <a:t>Influence</a:t>
          </a:r>
          <a:r>
            <a:rPr lang="es-ES" sz="1600" b="1" baseline="0"/>
            <a:t> on the problem </a:t>
          </a:r>
          <a:endParaRPr lang="es-ES" sz="1600" b="1"/>
        </a:p>
      </xdr:txBody>
    </xdr:sp>
    <xdr:clientData/>
  </xdr:twoCellAnchor>
  <xdr:twoCellAnchor>
    <xdr:from>
      <xdr:col>4</xdr:col>
      <xdr:colOff>20491</xdr:colOff>
      <xdr:row>15</xdr:row>
      <xdr:rowOff>35815</xdr:rowOff>
    </xdr:from>
    <xdr:to>
      <xdr:col>13</xdr:col>
      <xdr:colOff>161188</xdr:colOff>
      <xdr:row>17</xdr:row>
      <xdr:rowOff>18176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92AEDE4F-184D-4F97-8409-D9EB28298410}"/>
            </a:ext>
          </a:extLst>
        </xdr:cNvPr>
        <xdr:cNvSpPr/>
      </xdr:nvSpPr>
      <xdr:spPr>
        <a:xfrm>
          <a:off x="2410400" y="3889110"/>
          <a:ext cx="9622402" cy="346043"/>
        </a:xfrm>
        <a:prstGeom prst="rect">
          <a:avLst/>
        </a:prstGeom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86591</xdr:colOff>
      <xdr:row>14</xdr:row>
      <xdr:rowOff>153554</xdr:rowOff>
    </xdr:from>
    <xdr:to>
      <xdr:col>13</xdr:col>
      <xdr:colOff>75623</xdr:colOff>
      <xdr:row>17</xdr:row>
      <xdr:rowOff>112126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FDBA0CC0-A894-44E2-A487-6C3EEA1D0BB4}"/>
            </a:ext>
          </a:extLst>
        </xdr:cNvPr>
        <xdr:cNvSpPr txBox="1"/>
      </xdr:nvSpPr>
      <xdr:spPr>
        <a:xfrm>
          <a:off x="2476500" y="3825009"/>
          <a:ext cx="9470737" cy="5040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/>
            <a:t>CRITERIA</a:t>
          </a:r>
        </a:p>
      </xdr:txBody>
    </xdr:sp>
    <xdr:clientData/>
  </xdr:twoCellAnchor>
  <xdr:twoCellAnchor>
    <xdr:from>
      <xdr:col>5</xdr:col>
      <xdr:colOff>149425</xdr:colOff>
      <xdr:row>19</xdr:row>
      <xdr:rowOff>66521</xdr:rowOff>
    </xdr:from>
    <xdr:to>
      <xdr:col>5</xdr:col>
      <xdr:colOff>2638880</xdr:colOff>
      <xdr:row>23</xdr:row>
      <xdr:rowOff>45357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72A9064C-80F9-42CA-9B4A-E2BA485290D1}"/>
            </a:ext>
          </a:extLst>
        </xdr:cNvPr>
        <xdr:cNvSpPr txBox="1"/>
      </xdr:nvSpPr>
      <xdr:spPr>
        <a:xfrm>
          <a:off x="3573889" y="6688664"/>
          <a:ext cx="2489455" cy="704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/>
            <a:t>1: Even if the cause is eliminated, the problem would change very little</a:t>
          </a:r>
        </a:p>
        <a:p>
          <a:endParaRPr lang="es-ES" sz="1100" b="1"/>
        </a:p>
      </xdr:txBody>
    </xdr:sp>
    <xdr:clientData/>
  </xdr:twoCellAnchor>
  <xdr:twoCellAnchor>
    <xdr:from>
      <xdr:col>5</xdr:col>
      <xdr:colOff>152598</xdr:colOff>
      <xdr:row>22</xdr:row>
      <xdr:rowOff>20543</xdr:rowOff>
    </xdr:from>
    <xdr:to>
      <xdr:col>5</xdr:col>
      <xdr:colOff>2574018</xdr:colOff>
      <xdr:row>26</xdr:row>
      <xdr:rowOff>102053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17578276-019F-4CB9-A37D-68E1916C1B58}"/>
            </a:ext>
          </a:extLst>
        </xdr:cNvPr>
        <xdr:cNvSpPr txBox="1"/>
      </xdr:nvSpPr>
      <xdr:spPr>
        <a:xfrm>
          <a:off x="3577062" y="7186972"/>
          <a:ext cx="2421420" cy="807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/>
            <a:t>2: The cause contributes significantly to the problem, but it does not appear to be the primary cause.</a:t>
          </a:r>
        </a:p>
        <a:p>
          <a:endParaRPr lang="es-ES" sz="1100" b="1"/>
        </a:p>
      </xdr:txBody>
    </xdr:sp>
    <xdr:clientData/>
  </xdr:twoCellAnchor>
  <xdr:twoCellAnchor>
    <xdr:from>
      <xdr:col>5</xdr:col>
      <xdr:colOff>135115</xdr:colOff>
      <xdr:row>26</xdr:row>
      <xdr:rowOff>7473</xdr:rowOff>
    </xdr:from>
    <xdr:to>
      <xdr:col>5</xdr:col>
      <xdr:colOff>2573895</xdr:colOff>
      <xdr:row>28</xdr:row>
      <xdr:rowOff>130422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19275C5-321F-4F23-A63B-032E754A7AF2}"/>
            </a:ext>
          </a:extLst>
        </xdr:cNvPr>
        <xdr:cNvSpPr txBox="1"/>
      </xdr:nvSpPr>
      <xdr:spPr>
        <a:xfrm>
          <a:off x="3559579" y="7899616"/>
          <a:ext cx="2438780" cy="485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/>
            <a:t>3:</a:t>
          </a:r>
          <a:r>
            <a:rPr lang="es-ES" sz="1100" b="1" baseline="0"/>
            <a:t> </a:t>
          </a:r>
          <a:r>
            <a:rPr lang="es-ES" sz="1100" b="1"/>
            <a:t>If eliminated, the problem would be significantly reduced</a:t>
          </a:r>
        </a:p>
        <a:p>
          <a:endParaRPr lang="es-ES" sz="1100" b="1"/>
        </a:p>
      </xdr:txBody>
    </xdr:sp>
    <xdr:clientData/>
  </xdr:twoCellAnchor>
  <xdr:twoCellAnchor>
    <xdr:from>
      <xdr:col>5</xdr:col>
      <xdr:colOff>2788137</xdr:colOff>
      <xdr:row>17</xdr:row>
      <xdr:rowOff>80664</xdr:rowOff>
    </xdr:from>
    <xdr:to>
      <xdr:col>5</xdr:col>
      <xdr:colOff>3936712</xdr:colOff>
      <xdr:row>20</xdr:row>
      <xdr:rowOff>9483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3D993D7B-1877-4A8C-B52D-09B1C264A85B}"/>
            </a:ext>
          </a:extLst>
        </xdr:cNvPr>
        <xdr:cNvSpPr txBox="1"/>
      </xdr:nvSpPr>
      <xdr:spPr>
        <a:xfrm>
          <a:off x="3783932" y="4297641"/>
          <a:ext cx="1148575" cy="4743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/>
            <a:t>Frequency</a:t>
          </a:r>
        </a:p>
      </xdr:txBody>
    </xdr:sp>
    <xdr:clientData/>
  </xdr:twoCellAnchor>
  <xdr:twoCellAnchor>
    <xdr:from>
      <xdr:col>5</xdr:col>
      <xdr:colOff>2777665</xdr:colOff>
      <xdr:row>19</xdr:row>
      <xdr:rowOff>95302</xdr:rowOff>
    </xdr:from>
    <xdr:to>
      <xdr:col>7</xdr:col>
      <xdr:colOff>433450</xdr:colOff>
      <xdr:row>22</xdr:row>
      <xdr:rowOff>46346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B8837FC3-0306-4FB7-8D0B-84A9DFBFE757}"/>
            </a:ext>
          </a:extLst>
        </xdr:cNvPr>
        <xdr:cNvSpPr txBox="1"/>
      </xdr:nvSpPr>
      <xdr:spPr>
        <a:xfrm>
          <a:off x="6202129" y="6717445"/>
          <a:ext cx="2497660" cy="495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baseline="0"/>
            <a:t>1 = More than 1 month</a:t>
          </a:r>
        </a:p>
        <a:p>
          <a:endParaRPr lang="es-ES" sz="1100" b="1"/>
        </a:p>
      </xdr:txBody>
    </xdr:sp>
    <xdr:clientData/>
  </xdr:twoCellAnchor>
  <xdr:twoCellAnchor>
    <xdr:from>
      <xdr:col>5</xdr:col>
      <xdr:colOff>2739029</xdr:colOff>
      <xdr:row>22</xdr:row>
      <xdr:rowOff>70932</xdr:rowOff>
    </xdr:from>
    <xdr:to>
      <xdr:col>7</xdr:col>
      <xdr:colOff>349211</xdr:colOff>
      <xdr:row>25</xdr:row>
      <xdr:rowOff>15627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675C7BFB-DAC0-4318-97E3-57E4B9DA6D32}"/>
            </a:ext>
          </a:extLst>
        </xdr:cNvPr>
        <xdr:cNvSpPr txBox="1"/>
      </xdr:nvSpPr>
      <xdr:spPr>
        <a:xfrm>
          <a:off x="6163493" y="7237361"/>
          <a:ext cx="2452057" cy="488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/>
            <a:t>2 = Between 1 and 4 weeks</a:t>
          </a:r>
        </a:p>
        <a:p>
          <a:endParaRPr lang="es-ES" sz="1100" b="1"/>
        </a:p>
      </xdr:txBody>
    </xdr:sp>
    <xdr:clientData/>
  </xdr:twoCellAnchor>
  <xdr:twoCellAnchor>
    <xdr:from>
      <xdr:col>5</xdr:col>
      <xdr:colOff>2746903</xdr:colOff>
      <xdr:row>25</xdr:row>
      <xdr:rowOff>156491</xdr:rowOff>
    </xdr:from>
    <xdr:to>
      <xdr:col>7</xdr:col>
      <xdr:colOff>353910</xdr:colOff>
      <xdr:row>28</xdr:row>
      <xdr:rowOff>98011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A8CB7B14-ABCD-4215-9773-712A5DCE396B}"/>
            </a:ext>
          </a:extLst>
        </xdr:cNvPr>
        <xdr:cNvSpPr txBox="1"/>
      </xdr:nvSpPr>
      <xdr:spPr>
        <a:xfrm>
          <a:off x="6171367" y="7867205"/>
          <a:ext cx="2448882" cy="485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/>
            <a:t>3 = Daily or at every occurrence</a:t>
          </a:r>
        </a:p>
        <a:p>
          <a:endParaRPr lang="es-ES" sz="1100" b="1"/>
        </a:p>
      </xdr:txBody>
    </xdr:sp>
    <xdr:clientData/>
  </xdr:twoCellAnchor>
  <xdr:twoCellAnchor>
    <xdr:from>
      <xdr:col>7</xdr:col>
      <xdr:colOff>69182</xdr:colOff>
      <xdr:row>17</xdr:row>
      <xdr:rowOff>82973</xdr:rowOff>
    </xdr:from>
    <xdr:to>
      <xdr:col>8</xdr:col>
      <xdr:colOff>770658</xdr:colOff>
      <xdr:row>20</xdr:row>
      <xdr:rowOff>21317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D6E31DE9-677F-4BE5-BB9F-97DE3BDC2FD1}"/>
            </a:ext>
          </a:extLst>
        </xdr:cNvPr>
        <xdr:cNvSpPr txBox="1"/>
      </xdr:nvSpPr>
      <xdr:spPr>
        <a:xfrm>
          <a:off x="5896750" y="4299950"/>
          <a:ext cx="1446158" cy="4838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/>
            <a:t>Control </a:t>
          </a:r>
        </a:p>
      </xdr:txBody>
    </xdr:sp>
    <xdr:clientData/>
  </xdr:twoCellAnchor>
  <xdr:twoCellAnchor>
    <xdr:from>
      <xdr:col>7</xdr:col>
      <xdr:colOff>86592</xdr:colOff>
      <xdr:row>19</xdr:row>
      <xdr:rowOff>54686</xdr:rowOff>
    </xdr:from>
    <xdr:to>
      <xdr:col>10</xdr:col>
      <xdr:colOff>207819</xdr:colOff>
      <xdr:row>22</xdr:row>
      <xdr:rowOff>66962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2392E321-5D46-43A5-A6A3-8FC7A1B27721}"/>
            </a:ext>
          </a:extLst>
        </xdr:cNvPr>
        <xdr:cNvSpPr txBox="1"/>
      </xdr:nvSpPr>
      <xdr:spPr>
        <a:xfrm>
          <a:off x="7507433" y="4635345"/>
          <a:ext cx="2493818" cy="557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baseline="0"/>
            <a:t>1 = We cannot control it (weather, politics, etc.).</a:t>
          </a:r>
        </a:p>
        <a:p>
          <a:endParaRPr lang="es-ES" sz="1100" b="1"/>
        </a:p>
      </xdr:txBody>
    </xdr:sp>
    <xdr:clientData/>
  </xdr:twoCellAnchor>
  <xdr:twoCellAnchor>
    <xdr:from>
      <xdr:col>7</xdr:col>
      <xdr:colOff>19785</xdr:colOff>
      <xdr:row>22</xdr:row>
      <xdr:rowOff>53243</xdr:rowOff>
    </xdr:from>
    <xdr:to>
      <xdr:col>10</xdr:col>
      <xdr:colOff>134752</xdr:colOff>
      <xdr:row>24</xdr:row>
      <xdr:rowOff>64653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6CB916E6-92D5-4390-874E-C9B7C218B8AA}"/>
            </a:ext>
          </a:extLst>
        </xdr:cNvPr>
        <xdr:cNvSpPr txBox="1"/>
      </xdr:nvSpPr>
      <xdr:spPr>
        <a:xfrm>
          <a:off x="8286124" y="7219672"/>
          <a:ext cx="2462199" cy="374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baseline="0"/>
            <a:t>2 = We can influence the change.</a:t>
          </a:r>
        </a:p>
        <a:p>
          <a:endParaRPr lang="es-ES" sz="1100" b="1"/>
        </a:p>
      </xdr:txBody>
    </xdr:sp>
    <xdr:clientData/>
  </xdr:twoCellAnchor>
  <xdr:twoCellAnchor>
    <xdr:from>
      <xdr:col>6</xdr:col>
      <xdr:colOff>768671</xdr:colOff>
      <xdr:row>25</xdr:row>
      <xdr:rowOff>130062</xdr:rowOff>
    </xdr:from>
    <xdr:to>
      <xdr:col>10</xdr:col>
      <xdr:colOff>112567</xdr:colOff>
      <xdr:row>27</xdr:row>
      <xdr:rowOff>147411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C19B5BD7-55E7-462E-B09E-19F83DA2366D}"/>
            </a:ext>
          </a:extLst>
        </xdr:cNvPr>
        <xdr:cNvSpPr txBox="1"/>
      </xdr:nvSpPr>
      <xdr:spPr>
        <a:xfrm>
          <a:off x="8263939" y="7840776"/>
          <a:ext cx="2462199" cy="380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baseline="0"/>
            <a:t>3 = We can change it directly.</a:t>
          </a:r>
        </a:p>
        <a:p>
          <a:endParaRPr lang="es-ES" sz="1100" b="1"/>
        </a:p>
      </xdr:txBody>
    </xdr:sp>
    <xdr:clientData/>
  </xdr:twoCellAnchor>
  <xdr:twoCellAnchor>
    <xdr:from>
      <xdr:col>10</xdr:col>
      <xdr:colOff>346274</xdr:colOff>
      <xdr:row>17</xdr:row>
      <xdr:rowOff>114434</xdr:rowOff>
    </xdr:from>
    <xdr:to>
      <xdr:col>12</xdr:col>
      <xdr:colOff>883227</xdr:colOff>
      <xdr:row>20</xdr:row>
      <xdr:rowOff>62303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98E3C059-214B-42D1-85CA-8C3E3F83735E}"/>
            </a:ext>
          </a:extLst>
        </xdr:cNvPr>
        <xdr:cNvSpPr txBox="1"/>
      </xdr:nvSpPr>
      <xdr:spPr>
        <a:xfrm>
          <a:off x="8546433" y="4331411"/>
          <a:ext cx="1446158" cy="493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/>
            <a:t>Evidence</a:t>
          </a:r>
        </a:p>
      </xdr:txBody>
    </xdr:sp>
    <xdr:clientData/>
  </xdr:twoCellAnchor>
  <xdr:twoCellAnchor>
    <xdr:from>
      <xdr:col>10</xdr:col>
      <xdr:colOff>132973</xdr:colOff>
      <xdr:row>19</xdr:row>
      <xdr:rowOff>87013</xdr:rowOff>
    </xdr:from>
    <xdr:to>
      <xdr:col>13</xdr:col>
      <xdr:colOff>506847</xdr:colOff>
      <xdr:row>22</xdr:row>
      <xdr:rowOff>86589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86F911B5-23CE-4CDF-8E84-8D95A449D093}"/>
            </a:ext>
          </a:extLst>
        </xdr:cNvPr>
        <xdr:cNvSpPr txBox="1"/>
      </xdr:nvSpPr>
      <xdr:spPr>
        <a:xfrm>
          <a:off x="9926405" y="4667672"/>
          <a:ext cx="2452056" cy="5450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baseline="0"/>
            <a:t>1 = Assumptions / opinions</a:t>
          </a:r>
        </a:p>
        <a:p>
          <a:endParaRPr lang="es-ES" sz="1100" b="1"/>
        </a:p>
      </xdr:txBody>
    </xdr:sp>
    <xdr:clientData/>
  </xdr:twoCellAnchor>
  <xdr:twoCellAnchor>
    <xdr:from>
      <xdr:col>10</xdr:col>
      <xdr:colOff>132104</xdr:colOff>
      <xdr:row>22</xdr:row>
      <xdr:rowOff>53612</xdr:rowOff>
    </xdr:from>
    <xdr:to>
      <xdr:col>13</xdr:col>
      <xdr:colOff>525028</xdr:colOff>
      <xdr:row>25</xdr:row>
      <xdr:rowOff>53189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8E89060B-093F-472C-B282-8220096BA0D7}"/>
            </a:ext>
          </a:extLst>
        </xdr:cNvPr>
        <xdr:cNvSpPr txBox="1"/>
      </xdr:nvSpPr>
      <xdr:spPr>
        <a:xfrm>
          <a:off x="10745675" y="7220041"/>
          <a:ext cx="2740157" cy="5438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baseline="0"/>
            <a:t>2 = Field observations</a:t>
          </a:r>
        </a:p>
        <a:p>
          <a:endParaRPr lang="es-ES" sz="1100" b="1"/>
        </a:p>
      </xdr:txBody>
    </xdr:sp>
    <xdr:clientData/>
  </xdr:twoCellAnchor>
  <xdr:twoCellAnchor>
    <xdr:from>
      <xdr:col>10</xdr:col>
      <xdr:colOff>121259</xdr:colOff>
      <xdr:row>25</xdr:row>
      <xdr:rowOff>116412</xdr:rowOff>
    </xdr:from>
    <xdr:to>
      <xdr:col>13</xdr:col>
      <xdr:colOff>501483</xdr:colOff>
      <xdr:row>28</xdr:row>
      <xdr:rowOff>115989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0C875BB7-8C1E-40F9-9CC2-8EA79C38F872}"/>
            </a:ext>
          </a:extLst>
        </xdr:cNvPr>
        <xdr:cNvSpPr txBox="1"/>
      </xdr:nvSpPr>
      <xdr:spPr>
        <a:xfrm>
          <a:off x="10734830" y="7827126"/>
          <a:ext cx="2727457" cy="543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baseline="0"/>
            <a:t>3 = Data / records / measurements</a:t>
          </a:r>
        </a:p>
        <a:p>
          <a:endParaRPr lang="es-ES" sz="1100" b="1"/>
        </a:p>
      </xdr:txBody>
    </xdr:sp>
    <xdr:clientData/>
  </xdr:twoCellAnchor>
  <xdr:twoCellAnchor>
    <xdr:from>
      <xdr:col>0</xdr:col>
      <xdr:colOff>197675</xdr:colOff>
      <xdr:row>8</xdr:row>
      <xdr:rowOff>205882</xdr:rowOff>
    </xdr:from>
    <xdr:to>
      <xdr:col>3</xdr:col>
      <xdr:colOff>388175</xdr:colOff>
      <xdr:row>17</xdr:row>
      <xdr:rowOff>17690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BD9C62C9-4EF5-F7D8-A4A0-F02C6A4E1B4A}"/>
            </a:ext>
          </a:extLst>
        </xdr:cNvPr>
        <xdr:cNvSpPr/>
      </xdr:nvSpPr>
      <xdr:spPr>
        <a:xfrm>
          <a:off x="197675" y="3108739"/>
          <a:ext cx="2605768" cy="3168237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313169</xdr:colOff>
      <xdr:row>8</xdr:row>
      <xdr:rowOff>301253</xdr:rowOff>
    </xdr:from>
    <xdr:to>
      <xdr:col>3</xdr:col>
      <xdr:colOff>350115</xdr:colOff>
      <xdr:row>18</xdr:row>
      <xdr:rowOff>119866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C8A8E8D-728C-77F9-08D4-23E95AF7B258}"/>
            </a:ext>
          </a:extLst>
        </xdr:cNvPr>
        <xdr:cNvSpPr txBox="1"/>
      </xdr:nvSpPr>
      <xdr:spPr>
        <a:xfrm>
          <a:off x="313169" y="3204110"/>
          <a:ext cx="2452214" cy="3356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Not all categories have the same level of influence on a decision; therefore, each category is assigned a different weight in the matrix.</a:t>
          </a:r>
        </a:p>
        <a:p>
          <a:br>
            <a:rPr lang="es-ES" sz="1100" baseline="0"/>
          </a:br>
          <a:br>
            <a:rPr lang="es-ES" sz="1100" baseline="0"/>
          </a:br>
          <a:r>
            <a:rPr lang="es-ES" sz="1100" baseline="0"/>
            <a:t>Influence (0.4)</a:t>
          </a:r>
        </a:p>
        <a:p>
          <a:r>
            <a:rPr lang="es-ES" sz="1100" baseline="0"/>
            <a:t>Frequency (0.3)</a:t>
          </a:r>
        </a:p>
        <a:p>
          <a:r>
            <a:rPr lang="es-ES" sz="1100" baseline="0"/>
            <a:t>Control  (0.2)</a:t>
          </a:r>
        </a:p>
        <a:p>
          <a:r>
            <a:rPr lang="es-ES" sz="1100" baseline="0"/>
            <a:t>Evidence (0.1)</a:t>
          </a:r>
          <a:endParaRPr lang="es-ES" sz="1100"/>
        </a:p>
      </xdr:txBody>
    </xdr:sp>
    <xdr:clientData/>
  </xdr:twoCellAnchor>
  <xdr:twoCellAnchor>
    <xdr:from>
      <xdr:col>0</xdr:col>
      <xdr:colOff>309499</xdr:colOff>
      <xdr:row>12</xdr:row>
      <xdr:rowOff>181098</xdr:rowOff>
    </xdr:from>
    <xdr:to>
      <xdr:col>3</xdr:col>
      <xdr:colOff>359145</xdr:colOff>
      <xdr:row>17</xdr:row>
      <xdr:rowOff>178914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4C96D6CC-9EBF-4933-A708-92FDCA4D40A5}"/>
            </a:ext>
          </a:extLst>
        </xdr:cNvPr>
        <xdr:cNvSpPr txBox="1"/>
      </xdr:nvSpPr>
      <xdr:spPr>
        <a:xfrm>
          <a:off x="309499" y="4943598"/>
          <a:ext cx="2464914" cy="1494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Final score interpretation</a:t>
          </a:r>
          <a:br>
            <a:rPr lang="es-ES" sz="1100" baseline="0"/>
          </a:br>
          <a:br>
            <a:rPr lang="es-ES" sz="1100" baseline="0"/>
          </a:br>
          <a:r>
            <a:rPr lang="es-ES" sz="1100" baseline="0"/>
            <a:t>&lt;2.0 (</a:t>
          </a:r>
          <a:r>
            <a:rPr lang="es-ES" sz="1100" baseline="0">
              <a:solidFill>
                <a:schemeClr val="accent3">
                  <a:lumMod val="75000"/>
                </a:schemeClr>
              </a:solidFill>
            </a:rPr>
            <a:t>Low priority</a:t>
          </a:r>
          <a:r>
            <a:rPr lang="es-ES" sz="1100" baseline="0"/>
            <a:t>)</a:t>
          </a:r>
        </a:p>
        <a:p>
          <a:r>
            <a:rPr lang="es-ES" sz="1100" baseline="0"/>
            <a:t>2.0 - 2.4  (</a:t>
          </a:r>
          <a:r>
            <a:rPr lang="es-ES" sz="1100" baseline="0">
              <a:solidFill>
                <a:srgbClr val="A27B00"/>
              </a:solidFill>
            </a:rPr>
            <a:t>Requires validation</a:t>
          </a:r>
          <a:r>
            <a:rPr lang="es-ES" sz="1100" baseline="0"/>
            <a:t>)</a:t>
          </a:r>
        </a:p>
        <a:p>
          <a:r>
            <a:rPr lang="es-ES" sz="1100" baseline="0"/>
            <a:t>&gt;= 2.5 (</a:t>
          </a:r>
          <a:r>
            <a:rPr lang="es-ES" sz="1100" baseline="0">
              <a:solidFill>
                <a:srgbClr val="C00000"/>
              </a:solidFill>
            </a:rPr>
            <a:t>Preceed with 5 whys analysis</a:t>
          </a:r>
          <a:r>
            <a:rPr lang="es-ES" sz="1100" baseline="0"/>
            <a:t>)</a:t>
          </a:r>
        </a:p>
        <a:p>
          <a:endParaRPr lang="es-ES" sz="1100"/>
        </a:p>
      </xdr:txBody>
    </xdr:sp>
    <xdr:clientData/>
  </xdr:twoCellAnchor>
  <xdr:twoCellAnchor>
    <xdr:from>
      <xdr:col>0</xdr:col>
      <xdr:colOff>200353</xdr:colOff>
      <xdr:row>2</xdr:row>
      <xdr:rowOff>142298</xdr:rowOff>
    </xdr:from>
    <xdr:to>
      <xdr:col>3</xdr:col>
      <xdr:colOff>408171</xdr:colOff>
      <xdr:row>7</xdr:row>
      <xdr:rowOff>430893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1FD3E4D1-CFBD-4E23-9B92-619714975025}"/>
            </a:ext>
          </a:extLst>
        </xdr:cNvPr>
        <xdr:cNvSpPr/>
      </xdr:nvSpPr>
      <xdr:spPr>
        <a:xfrm>
          <a:off x="200353" y="675244"/>
          <a:ext cx="2623086" cy="219359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tx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240722</xdr:colOff>
      <xdr:row>3</xdr:row>
      <xdr:rowOff>125271</xdr:rowOff>
    </xdr:from>
    <xdr:to>
      <xdr:col>0</xdr:col>
      <xdr:colOff>464633</xdr:colOff>
      <xdr:row>4</xdr:row>
      <xdr:rowOff>1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6092DBDE-DBA9-42AF-BADD-E83CEF125377}"/>
            </a:ext>
          </a:extLst>
        </xdr:cNvPr>
        <xdr:cNvSpPr/>
      </xdr:nvSpPr>
      <xdr:spPr>
        <a:xfrm>
          <a:off x="240722" y="845454"/>
          <a:ext cx="223911" cy="211590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1</a:t>
          </a:r>
        </a:p>
      </xdr:txBody>
    </xdr:sp>
    <xdr:clientData/>
  </xdr:twoCellAnchor>
  <xdr:twoCellAnchor>
    <xdr:from>
      <xdr:col>0</xdr:col>
      <xdr:colOff>475097</xdr:colOff>
      <xdr:row>3</xdr:row>
      <xdr:rowOff>19916</xdr:rowOff>
    </xdr:from>
    <xdr:to>
      <xdr:col>3</xdr:col>
      <xdr:colOff>259773</xdr:colOff>
      <xdr:row>5</xdr:row>
      <xdr:rowOff>163658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5A7228B8-E526-4F91-BF91-62B19B86E849}"/>
            </a:ext>
          </a:extLst>
        </xdr:cNvPr>
        <xdr:cNvSpPr txBox="1"/>
      </xdr:nvSpPr>
      <xdr:spPr>
        <a:xfrm>
          <a:off x="475097" y="738621"/>
          <a:ext cx="2174585" cy="827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Assign a rating to each cause based on the established criteria.</a:t>
          </a:r>
        </a:p>
      </xdr:txBody>
    </xdr:sp>
    <xdr:clientData/>
  </xdr:twoCellAnchor>
  <xdr:twoCellAnchor>
    <xdr:from>
      <xdr:col>0</xdr:col>
      <xdr:colOff>161347</xdr:colOff>
      <xdr:row>1</xdr:row>
      <xdr:rowOff>26844</xdr:rowOff>
    </xdr:from>
    <xdr:to>
      <xdr:col>3</xdr:col>
      <xdr:colOff>389924</xdr:colOff>
      <xdr:row>2</xdr:row>
      <xdr:rowOff>98715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6C7418B6-2313-401F-8E17-CABB5A07535C}"/>
            </a:ext>
          </a:extLst>
        </xdr:cNvPr>
        <xdr:cNvSpPr/>
      </xdr:nvSpPr>
      <xdr:spPr>
        <a:xfrm>
          <a:off x="161347" y="286617"/>
          <a:ext cx="2618486" cy="34896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tx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245918</xdr:colOff>
      <xdr:row>0</xdr:row>
      <xdr:rowOff>181840</xdr:rowOff>
    </xdr:from>
    <xdr:to>
      <xdr:col>3</xdr:col>
      <xdr:colOff>268599</xdr:colOff>
      <xdr:row>2</xdr:row>
      <xdr:rowOff>165099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A20E56C3-1D4E-41D4-B202-AF41D18189FA}"/>
            </a:ext>
          </a:extLst>
        </xdr:cNvPr>
        <xdr:cNvSpPr txBox="1"/>
      </xdr:nvSpPr>
      <xdr:spPr>
        <a:xfrm>
          <a:off x="245918" y="181840"/>
          <a:ext cx="2412590" cy="5201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600" b="1"/>
            <a:t>STEPS</a:t>
          </a:r>
        </a:p>
      </xdr:txBody>
    </xdr:sp>
    <xdr:clientData/>
  </xdr:twoCellAnchor>
  <xdr:twoCellAnchor>
    <xdr:from>
      <xdr:col>3</xdr:col>
      <xdr:colOff>746126</xdr:colOff>
      <xdr:row>0</xdr:row>
      <xdr:rowOff>182709</xdr:rowOff>
    </xdr:from>
    <xdr:to>
      <xdr:col>4</xdr:col>
      <xdr:colOff>161349</xdr:colOff>
      <xdr:row>1</xdr:row>
      <xdr:rowOff>129886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D5DA4C42-B68C-42B1-9571-6F41B5B3CB0B}"/>
            </a:ext>
          </a:extLst>
        </xdr:cNvPr>
        <xdr:cNvSpPr/>
      </xdr:nvSpPr>
      <xdr:spPr>
        <a:xfrm>
          <a:off x="3136035" y="182709"/>
          <a:ext cx="211859" cy="206950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1</a:t>
          </a:r>
        </a:p>
      </xdr:txBody>
    </xdr:sp>
    <xdr:clientData/>
  </xdr:twoCellAnchor>
  <xdr:twoCellAnchor>
    <xdr:from>
      <xdr:col>0</xdr:col>
      <xdr:colOff>268762</xdr:colOff>
      <xdr:row>6</xdr:row>
      <xdr:rowOff>249258</xdr:rowOff>
    </xdr:from>
    <xdr:to>
      <xdr:col>0</xdr:col>
      <xdr:colOff>480621</xdr:colOff>
      <xdr:row>6</xdr:row>
      <xdr:rowOff>443508</xdr:rowOff>
    </xdr:to>
    <xdr:sp macro="" textlink="">
      <xdr:nvSpPr>
        <xdr:cNvPr id="53" name="Elipse 52">
          <a:extLst>
            <a:ext uri="{FF2B5EF4-FFF2-40B4-BE49-F238E27FC236}">
              <a16:creationId xmlns:a16="http://schemas.microsoft.com/office/drawing/2014/main" id="{AE28EC16-73A2-40CE-8C5A-DB3D53170011}"/>
            </a:ext>
          </a:extLst>
        </xdr:cNvPr>
        <xdr:cNvSpPr/>
      </xdr:nvSpPr>
      <xdr:spPr>
        <a:xfrm>
          <a:off x="268762" y="2222294"/>
          <a:ext cx="211859" cy="194250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3</a:t>
          </a:r>
        </a:p>
      </xdr:txBody>
    </xdr:sp>
    <xdr:clientData/>
  </xdr:twoCellAnchor>
  <xdr:twoCellAnchor>
    <xdr:from>
      <xdr:col>0</xdr:col>
      <xdr:colOff>533979</xdr:colOff>
      <xdr:row>6</xdr:row>
      <xdr:rowOff>157925</xdr:rowOff>
    </xdr:from>
    <xdr:to>
      <xdr:col>3</xdr:col>
      <xdr:colOff>318655</xdr:colOff>
      <xdr:row>8</xdr:row>
      <xdr:rowOff>44204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576C7F1E-7FDE-4431-87AB-AD4665C3F093}"/>
            </a:ext>
          </a:extLst>
        </xdr:cNvPr>
        <xdr:cNvSpPr txBox="1"/>
      </xdr:nvSpPr>
      <xdr:spPr>
        <a:xfrm>
          <a:off x="533979" y="2130961"/>
          <a:ext cx="2199944" cy="81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Continue with the 5 Whys Analysis (next tab).</a:t>
          </a:r>
        </a:p>
      </xdr:txBody>
    </xdr:sp>
    <xdr:clientData/>
  </xdr:twoCellAnchor>
  <xdr:twoCellAnchor>
    <xdr:from>
      <xdr:col>0</xdr:col>
      <xdr:colOff>265587</xdr:colOff>
      <xdr:row>5</xdr:row>
      <xdr:rowOff>71005</xdr:rowOff>
    </xdr:from>
    <xdr:to>
      <xdr:col>0</xdr:col>
      <xdr:colOff>477446</xdr:colOff>
      <xdr:row>5</xdr:row>
      <xdr:rowOff>262080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C8ECEDCC-E41C-4C94-840C-4E9101A0981D}"/>
            </a:ext>
          </a:extLst>
        </xdr:cNvPr>
        <xdr:cNvSpPr/>
      </xdr:nvSpPr>
      <xdr:spPr>
        <a:xfrm>
          <a:off x="265587" y="1579130"/>
          <a:ext cx="211859" cy="191075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2</a:t>
          </a:r>
        </a:p>
      </xdr:txBody>
    </xdr:sp>
    <xdr:clientData/>
  </xdr:twoCellAnchor>
  <xdr:twoCellAnchor>
    <xdr:from>
      <xdr:col>0</xdr:col>
      <xdr:colOff>499962</xdr:colOff>
      <xdr:row>4</xdr:row>
      <xdr:rowOff>384712</xdr:rowOff>
    </xdr:from>
    <xdr:to>
      <xdr:col>3</xdr:col>
      <xdr:colOff>552450</xdr:colOff>
      <xdr:row>6</xdr:row>
      <xdr:rowOff>270990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8091165F-FA84-4B74-9A3B-40BEC4B346D6}"/>
            </a:ext>
          </a:extLst>
        </xdr:cNvPr>
        <xdr:cNvSpPr txBox="1"/>
      </xdr:nvSpPr>
      <xdr:spPr>
        <a:xfrm>
          <a:off x="499962" y="1427926"/>
          <a:ext cx="2467756" cy="81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" sz="1200" b="1">
              <a:solidFill>
                <a:schemeClr val="dk1"/>
              </a:solidFill>
            </a:rPr>
            <a:t>Check the "5 Whys" box for the selected causes.</a:t>
          </a:r>
        </a:p>
      </xdr:txBody>
    </xdr:sp>
    <xdr:clientData/>
  </xdr:twoCellAnchor>
  <xdr:twoCellAnchor>
    <xdr:from>
      <xdr:col>11</xdr:col>
      <xdr:colOff>249134</xdr:colOff>
      <xdr:row>3</xdr:row>
      <xdr:rowOff>253053</xdr:rowOff>
    </xdr:from>
    <xdr:to>
      <xdr:col>12</xdr:col>
      <xdr:colOff>187820</xdr:colOff>
      <xdr:row>4</xdr:row>
      <xdr:rowOff>137102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FC1614D7-9510-4DBD-88C8-367D41E2429E}"/>
            </a:ext>
          </a:extLst>
        </xdr:cNvPr>
        <xdr:cNvSpPr/>
      </xdr:nvSpPr>
      <xdr:spPr>
        <a:xfrm>
          <a:off x="11769848" y="967428"/>
          <a:ext cx="210829" cy="212888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2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87773</xdr:colOff>
      <xdr:row>13</xdr:row>
      <xdr:rowOff>58519</xdr:rowOff>
    </xdr:from>
    <xdr:to>
      <xdr:col>5</xdr:col>
      <xdr:colOff>494193</xdr:colOff>
      <xdr:row>14</xdr:row>
      <xdr:rowOff>133743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4C2381-67BE-4502-9A6A-CA14B92E1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243634" y="2291633"/>
          <a:ext cx="399073" cy="409595"/>
        </a:xfrm>
        <a:prstGeom prst="rect">
          <a:avLst/>
        </a:prstGeom>
      </xdr:spPr>
    </xdr:pic>
    <xdr:clientData/>
  </xdr:twoCellAnchor>
  <xdr:twoCellAnchor editAs="oneCell">
    <xdr:from>
      <xdr:col>5</xdr:col>
      <xdr:colOff>104305</xdr:colOff>
      <xdr:row>16</xdr:row>
      <xdr:rowOff>143916</xdr:rowOff>
    </xdr:from>
    <xdr:to>
      <xdr:col>5</xdr:col>
      <xdr:colOff>513900</xdr:colOff>
      <xdr:row>18</xdr:row>
      <xdr:rowOff>168337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C3B10E-5798-441D-8E30-A04347280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269691" y="3056480"/>
          <a:ext cx="389547" cy="406420"/>
        </a:xfrm>
        <a:prstGeom prst="rect">
          <a:avLst/>
        </a:prstGeom>
      </xdr:spPr>
    </xdr:pic>
    <xdr:clientData/>
  </xdr:twoCellAnchor>
  <xdr:twoCellAnchor editAs="oneCell">
    <xdr:from>
      <xdr:col>5</xdr:col>
      <xdr:colOff>85397</xdr:colOff>
      <xdr:row>19</xdr:row>
      <xdr:rowOff>151086</xdr:rowOff>
    </xdr:from>
    <xdr:to>
      <xdr:col>5</xdr:col>
      <xdr:colOff>488642</xdr:colOff>
      <xdr:row>22</xdr:row>
      <xdr:rowOff>1942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FFC2402-9376-4B5B-B556-5837A663F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247608" y="3612925"/>
          <a:ext cx="389548" cy="400070"/>
        </a:xfrm>
        <a:prstGeom prst="rect">
          <a:avLst/>
        </a:prstGeom>
      </xdr:spPr>
    </xdr:pic>
    <xdr:clientData/>
  </xdr:twoCellAnchor>
  <xdr:twoCellAnchor editAs="oneCell">
    <xdr:from>
      <xdr:col>5</xdr:col>
      <xdr:colOff>118242</xdr:colOff>
      <xdr:row>22</xdr:row>
      <xdr:rowOff>137949</xdr:rowOff>
    </xdr:from>
    <xdr:to>
      <xdr:col>5</xdr:col>
      <xdr:colOff>521487</xdr:colOff>
      <xdr:row>24</xdr:row>
      <xdr:rowOff>168721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DF6B4DB-4A7A-454F-866A-2DF6AA0ED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280453" y="4145888"/>
          <a:ext cx="389548" cy="400070"/>
        </a:xfrm>
        <a:prstGeom prst="rect">
          <a:avLst/>
        </a:prstGeom>
      </xdr:spPr>
    </xdr:pic>
    <xdr:clientData/>
  </xdr:twoCellAnchor>
  <xdr:twoCellAnchor editAs="oneCell">
    <xdr:from>
      <xdr:col>10</xdr:col>
      <xdr:colOff>1279255</xdr:colOff>
      <xdr:row>13</xdr:row>
      <xdr:rowOff>145174</xdr:rowOff>
    </xdr:from>
    <xdr:to>
      <xdr:col>11</xdr:col>
      <xdr:colOff>73905</xdr:colOff>
      <xdr:row>15</xdr:row>
      <xdr:rowOff>18256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790BCDE-94F1-4A68-8092-CC32B4089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122039" y="1827390"/>
          <a:ext cx="381082" cy="424484"/>
        </a:xfrm>
        <a:prstGeom prst="rect">
          <a:avLst/>
        </a:prstGeom>
      </xdr:spPr>
    </xdr:pic>
    <xdr:clientData/>
  </xdr:twoCellAnchor>
  <xdr:twoCellAnchor editAs="oneCell">
    <xdr:from>
      <xdr:col>10</xdr:col>
      <xdr:colOff>1270607</xdr:colOff>
      <xdr:row>16</xdr:row>
      <xdr:rowOff>105870</xdr:rowOff>
    </xdr:from>
    <xdr:to>
      <xdr:col>11</xdr:col>
      <xdr:colOff>77957</xdr:colOff>
      <xdr:row>18</xdr:row>
      <xdr:rowOff>114416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1B03B8A-B066-455F-884E-BA3C9FD7F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126092" y="2463301"/>
          <a:ext cx="368380" cy="437184"/>
        </a:xfrm>
        <a:prstGeom prst="rect">
          <a:avLst/>
        </a:prstGeom>
      </xdr:spPr>
    </xdr:pic>
    <xdr:clientData/>
  </xdr:twoCellAnchor>
  <xdr:twoCellAnchor editAs="oneCell">
    <xdr:from>
      <xdr:col>10</xdr:col>
      <xdr:colOff>1253091</xdr:colOff>
      <xdr:row>19</xdr:row>
      <xdr:rowOff>70725</xdr:rowOff>
    </xdr:from>
    <xdr:to>
      <xdr:col>11</xdr:col>
      <xdr:colOff>54091</xdr:colOff>
      <xdr:row>21</xdr:row>
      <xdr:rowOff>69747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1C08428-5786-4DA5-AA75-75B7F56B4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108575" y="2967907"/>
          <a:ext cx="362031" cy="430834"/>
        </a:xfrm>
        <a:prstGeom prst="rect">
          <a:avLst/>
        </a:prstGeom>
      </xdr:spPr>
    </xdr:pic>
    <xdr:clientData/>
  </xdr:twoCellAnchor>
  <xdr:twoCellAnchor editAs="oneCell">
    <xdr:from>
      <xdr:col>10</xdr:col>
      <xdr:colOff>1247374</xdr:colOff>
      <xdr:row>22</xdr:row>
      <xdr:rowOff>88573</xdr:rowOff>
    </xdr:from>
    <xdr:to>
      <xdr:col>11</xdr:col>
      <xdr:colOff>45199</xdr:colOff>
      <xdr:row>24</xdr:row>
      <xdr:rowOff>97120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5726F32-AE32-4299-95ED-078CB80B9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099683" y="3528680"/>
          <a:ext cx="368381" cy="43083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304800</xdr:colOff>
      <xdr:row>76</xdr:row>
      <xdr:rowOff>123826</xdr:rowOff>
    </xdr:to>
    <xdr:sp macro="" textlink="">
      <xdr:nvSpPr>
        <xdr:cNvPr id="19" name="AutoShape 1" descr="Vista previa de imagen">
          <a:extLst>
            <a:ext uri="{FF2B5EF4-FFF2-40B4-BE49-F238E27FC236}">
              <a16:creationId xmlns:a16="http://schemas.microsoft.com/office/drawing/2014/main" id="{37E1661E-60D6-4086-8A6A-D4FFF0522BF7}"/>
            </a:ext>
          </a:extLst>
        </xdr:cNvPr>
        <xdr:cNvSpPr>
          <a:spLocks noChangeAspect="1" noChangeArrowheads="1"/>
        </xdr:cNvSpPr>
      </xdr:nvSpPr>
      <xdr:spPr bwMode="auto">
        <a:xfrm>
          <a:off x="3028950" y="783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87773</xdr:colOff>
      <xdr:row>13</xdr:row>
      <xdr:rowOff>58519</xdr:rowOff>
    </xdr:from>
    <xdr:ext cx="409595" cy="399074"/>
    <xdr:pic>
      <xdr:nvPicPr>
        <xdr:cNvPr id="10" name="Imagen 9">
          <a:extLst>
            <a:ext uri="{FF2B5EF4-FFF2-40B4-BE49-F238E27FC236}">
              <a16:creationId xmlns:a16="http://schemas.microsoft.com/office/drawing/2014/main" id="{59E16910-D41C-4796-BDF5-D999B1940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690059" y="1405808"/>
          <a:ext cx="399074" cy="409595"/>
        </a:xfrm>
        <a:prstGeom prst="rect">
          <a:avLst/>
        </a:prstGeom>
      </xdr:spPr>
    </xdr:pic>
    <xdr:clientData/>
  </xdr:oneCellAnchor>
  <xdr:oneCellAnchor>
    <xdr:from>
      <xdr:col>13</xdr:col>
      <xdr:colOff>104305</xdr:colOff>
      <xdr:row>16</xdr:row>
      <xdr:rowOff>143916</xdr:rowOff>
    </xdr:from>
    <xdr:ext cx="406420" cy="389546"/>
    <xdr:pic>
      <xdr:nvPicPr>
        <xdr:cNvPr id="11" name="Imagen 10">
          <a:extLst>
            <a:ext uri="{FF2B5EF4-FFF2-40B4-BE49-F238E27FC236}">
              <a16:creationId xmlns:a16="http://schemas.microsoft.com/office/drawing/2014/main" id="{17356D9B-DBB5-44CA-8112-CDA9439FB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716117" y="2170654"/>
          <a:ext cx="389546" cy="406420"/>
        </a:xfrm>
        <a:prstGeom prst="rect">
          <a:avLst/>
        </a:prstGeom>
      </xdr:spPr>
    </xdr:pic>
    <xdr:clientData/>
  </xdr:oneCellAnchor>
  <xdr:oneCellAnchor>
    <xdr:from>
      <xdr:col>13</xdr:col>
      <xdr:colOff>85397</xdr:colOff>
      <xdr:row>19</xdr:row>
      <xdr:rowOff>151086</xdr:rowOff>
    </xdr:from>
    <xdr:ext cx="396895" cy="393781"/>
    <xdr:pic>
      <xdr:nvPicPr>
        <xdr:cNvPr id="12" name="Imagen 11">
          <a:extLst>
            <a:ext uri="{FF2B5EF4-FFF2-40B4-BE49-F238E27FC236}">
              <a16:creationId xmlns:a16="http://schemas.microsoft.com/office/drawing/2014/main" id="{1FC647DE-6517-40CA-B3AD-60FCB2A81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690329" y="2730804"/>
          <a:ext cx="393781" cy="396895"/>
        </a:xfrm>
        <a:prstGeom prst="rect">
          <a:avLst/>
        </a:prstGeom>
      </xdr:spPr>
    </xdr:pic>
    <xdr:clientData/>
  </xdr:oneCellAnchor>
  <xdr:oneCellAnchor>
    <xdr:from>
      <xdr:col>13</xdr:col>
      <xdr:colOff>118242</xdr:colOff>
      <xdr:row>22</xdr:row>
      <xdr:rowOff>137949</xdr:rowOff>
    </xdr:from>
    <xdr:ext cx="403245" cy="389547"/>
    <xdr:pic>
      <xdr:nvPicPr>
        <xdr:cNvPr id="13" name="Imagen 12">
          <a:extLst>
            <a:ext uri="{FF2B5EF4-FFF2-40B4-BE49-F238E27FC236}">
              <a16:creationId xmlns:a16="http://schemas.microsoft.com/office/drawing/2014/main" id="{7925C30C-8F1F-4679-98E6-43F02F873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728466" y="3258475"/>
          <a:ext cx="389547" cy="403245"/>
        </a:xfrm>
        <a:prstGeom prst="rect">
          <a:avLst/>
        </a:prstGeom>
      </xdr:spPr>
    </xdr:pic>
    <xdr:clientData/>
  </xdr:oneCellAnchor>
  <xdr:oneCellAnchor>
    <xdr:from>
      <xdr:col>18</xdr:col>
      <xdr:colOff>1279255</xdr:colOff>
      <xdr:row>13</xdr:row>
      <xdr:rowOff>145174</xdr:rowOff>
    </xdr:from>
    <xdr:ext cx="423425" cy="381082"/>
    <xdr:pic>
      <xdr:nvPicPr>
        <xdr:cNvPr id="14" name="Imagen 13">
          <a:extLst>
            <a:ext uri="{FF2B5EF4-FFF2-40B4-BE49-F238E27FC236}">
              <a16:creationId xmlns:a16="http://schemas.microsoft.com/office/drawing/2014/main" id="{4BE03098-EF75-4F9D-950C-439533836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101402" y="1473377"/>
          <a:ext cx="381082" cy="423425"/>
        </a:xfrm>
        <a:prstGeom prst="rect">
          <a:avLst/>
        </a:prstGeom>
      </xdr:spPr>
    </xdr:pic>
    <xdr:clientData/>
  </xdr:oneCellAnchor>
  <xdr:oneCellAnchor>
    <xdr:from>
      <xdr:col>18</xdr:col>
      <xdr:colOff>1270607</xdr:colOff>
      <xdr:row>16</xdr:row>
      <xdr:rowOff>105870</xdr:rowOff>
    </xdr:from>
    <xdr:ext cx="439300" cy="373671"/>
    <xdr:pic>
      <xdr:nvPicPr>
        <xdr:cNvPr id="15" name="Imagen 14">
          <a:extLst>
            <a:ext uri="{FF2B5EF4-FFF2-40B4-BE49-F238E27FC236}">
              <a16:creationId xmlns:a16="http://schemas.microsoft.com/office/drawing/2014/main" id="{17A391EC-B93D-4F68-8C7F-896D6F5AE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101221" y="2108231"/>
          <a:ext cx="373671" cy="439300"/>
        </a:xfrm>
        <a:prstGeom prst="rect">
          <a:avLst/>
        </a:prstGeom>
      </xdr:spPr>
    </xdr:pic>
    <xdr:clientData/>
  </xdr:oneCellAnchor>
  <xdr:oneCellAnchor>
    <xdr:from>
      <xdr:col>18</xdr:col>
      <xdr:colOff>1253091</xdr:colOff>
      <xdr:row>19</xdr:row>
      <xdr:rowOff>70725</xdr:rowOff>
    </xdr:from>
    <xdr:ext cx="432950" cy="360972"/>
    <xdr:pic>
      <xdr:nvPicPr>
        <xdr:cNvPr id="16" name="Imagen 15">
          <a:extLst>
            <a:ext uri="{FF2B5EF4-FFF2-40B4-BE49-F238E27FC236}">
              <a16:creationId xmlns:a16="http://schemas.microsoft.com/office/drawing/2014/main" id="{60461383-BA7B-4EE7-8F64-82F803498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086880" y="2612836"/>
          <a:ext cx="360972" cy="432950"/>
        </a:xfrm>
        <a:prstGeom prst="rect">
          <a:avLst/>
        </a:prstGeom>
      </xdr:spPr>
    </xdr:pic>
    <xdr:clientData/>
  </xdr:oneCellAnchor>
  <xdr:oneCellAnchor>
    <xdr:from>
      <xdr:col>18</xdr:col>
      <xdr:colOff>1247374</xdr:colOff>
      <xdr:row>22</xdr:row>
      <xdr:rowOff>88573</xdr:rowOff>
    </xdr:from>
    <xdr:ext cx="426600" cy="373672"/>
    <xdr:pic>
      <xdr:nvPicPr>
        <xdr:cNvPr id="17" name="Imagen 16">
          <a:extLst>
            <a:ext uri="{FF2B5EF4-FFF2-40B4-BE49-F238E27FC236}">
              <a16:creationId xmlns:a16="http://schemas.microsoft.com/office/drawing/2014/main" id="{1369D52B-E1E7-4B66-9469-94F39AD50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077988" y="3183134"/>
          <a:ext cx="373672" cy="426600"/>
        </a:xfrm>
        <a:prstGeom prst="rect">
          <a:avLst/>
        </a:prstGeom>
      </xdr:spPr>
    </xdr:pic>
    <xdr:clientData/>
  </xdr:oneCellAnchor>
  <xdr:oneCellAnchor>
    <xdr:from>
      <xdr:col>21</xdr:col>
      <xdr:colOff>87773</xdr:colOff>
      <xdr:row>13</xdr:row>
      <xdr:rowOff>58519</xdr:rowOff>
    </xdr:from>
    <xdr:ext cx="409595" cy="399074"/>
    <xdr:pic>
      <xdr:nvPicPr>
        <xdr:cNvPr id="18" name="Imagen 17">
          <a:extLst>
            <a:ext uri="{FF2B5EF4-FFF2-40B4-BE49-F238E27FC236}">
              <a16:creationId xmlns:a16="http://schemas.microsoft.com/office/drawing/2014/main" id="{E98DCA6C-59CD-449F-AA06-4F2158B33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196009" y="1405808"/>
          <a:ext cx="399074" cy="409595"/>
        </a:xfrm>
        <a:prstGeom prst="rect">
          <a:avLst/>
        </a:prstGeom>
      </xdr:spPr>
    </xdr:pic>
    <xdr:clientData/>
  </xdr:oneCellAnchor>
  <xdr:oneCellAnchor>
    <xdr:from>
      <xdr:col>21</xdr:col>
      <xdr:colOff>104305</xdr:colOff>
      <xdr:row>16</xdr:row>
      <xdr:rowOff>143916</xdr:rowOff>
    </xdr:from>
    <xdr:ext cx="406420" cy="389546"/>
    <xdr:pic>
      <xdr:nvPicPr>
        <xdr:cNvPr id="20" name="Imagen 19">
          <a:extLst>
            <a:ext uri="{FF2B5EF4-FFF2-40B4-BE49-F238E27FC236}">
              <a16:creationId xmlns:a16="http://schemas.microsoft.com/office/drawing/2014/main" id="{C2200540-FDA6-4146-AB79-3C21C41E5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222067" y="2170654"/>
          <a:ext cx="389546" cy="406420"/>
        </a:xfrm>
        <a:prstGeom prst="rect">
          <a:avLst/>
        </a:prstGeom>
      </xdr:spPr>
    </xdr:pic>
    <xdr:clientData/>
  </xdr:oneCellAnchor>
  <xdr:oneCellAnchor>
    <xdr:from>
      <xdr:col>21</xdr:col>
      <xdr:colOff>85397</xdr:colOff>
      <xdr:row>19</xdr:row>
      <xdr:rowOff>151086</xdr:rowOff>
    </xdr:from>
    <xdr:ext cx="396895" cy="393781"/>
    <xdr:pic>
      <xdr:nvPicPr>
        <xdr:cNvPr id="21" name="Imagen 20">
          <a:extLst>
            <a:ext uri="{FF2B5EF4-FFF2-40B4-BE49-F238E27FC236}">
              <a16:creationId xmlns:a16="http://schemas.microsoft.com/office/drawing/2014/main" id="{3EDBD2AE-37A4-42EB-966A-916068E7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196279" y="2730804"/>
          <a:ext cx="393781" cy="396895"/>
        </a:xfrm>
        <a:prstGeom prst="rect">
          <a:avLst/>
        </a:prstGeom>
      </xdr:spPr>
    </xdr:pic>
    <xdr:clientData/>
  </xdr:oneCellAnchor>
  <xdr:oneCellAnchor>
    <xdr:from>
      <xdr:col>21</xdr:col>
      <xdr:colOff>118242</xdr:colOff>
      <xdr:row>22</xdr:row>
      <xdr:rowOff>137949</xdr:rowOff>
    </xdr:from>
    <xdr:ext cx="403245" cy="389547"/>
    <xdr:pic>
      <xdr:nvPicPr>
        <xdr:cNvPr id="22" name="Imagen 21">
          <a:extLst>
            <a:ext uri="{FF2B5EF4-FFF2-40B4-BE49-F238E27FC236}">
              <a16:creationId xmlns:a16="http://schemas.microsoft.com/office/drawing/2014/main" id="{781FF076-5903-4410-AC32-086F29F1C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234416" y="3258475"/>
          <a:ext cx="389547" cy="403245"/>
        </a:xfrm>
        <a:prstGeom prst="rect">
          <a:avLst/>
        </a:prstGeom>
      </xdr:spPr>
    </xdr:pic>
    <xdr:clientData/>
  </xdr:oneCellAnchor>
  <xdr:oneCellAnchor>
    <xdr:from>
      <xdr:col>26</xdr:col>
      <xdr:colOff>1279255</xdr:colOff>
      <xdr:row>13</xdr:row>
      <xdr:rowOff>145174</xdr:rowOff>
    </xdr:from>
    <xdr:ext cx="423425" cy="381082"/>
    <xdr:pic>
      <xdr:nvPicPr>
        <xdr:cNvPr id="23" name="Imagen 22">
          <a:extLst>
            <a:ext uri="{FF2B5EF4-FFF2-40B4-BE49-F238E27FC236}">
              <a16:creationId xmlns:a16="http://schemas.microsoft.com/office/drawing/2014/main" id="{D2C2B892-0140-4FFB-A372-FE3E36A5D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27808502" y="1473377"/>
          <a:ext cx="381082" cy="423425"/>
        </a:xfrm>
        <a:prstGeom prst="rect">
          <a:avLst/>
        </a:prstGeom>
      </xdr:spPr>
    </xdr:pic>
    <xdr:clientData/>
  </xdr:oneCellAnchor>
  <xdr:oneCellAnchor>
    <xdr:from>
      <xdr:col>26</xdr:col>
      <xdr:colOff>1270607</xdr:colOff>
      <xdr:row>16</xdr:row>
      <xdr:rowOff>105870</xdr:rowOff>
    </xdr:from>
    <xdr:ext cx="439300" cy="373671"/>
    <xdr:pic>
      <xdr:nvPicPr>
        <xdr:cNvPr id="24" name="Imagen 23">
          <a:extLst>
            <a:ext uri="{FF2B5EF4-FFF2-40B4-BE49-F238E27FC236}">
              <a16:creationId xmlns:a16="http://schemas.microsoft.com/office/drawing/2014/main" id="{6290600F-3BE2-4B75-A0A9-577B378A6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27808321" y="2108231"/>
          <a:ext cx="373671" cy="439300"/>
        </a:xfrm>
        <a:prstGeom prst="rect">
          <a:avLst/>
        </a:prstGeom>
      </xdr:spPr>
    </xdr:pic>
    <xdr:clientData/>
  </xdr:oneCellAnchor>
  <xdr:oneCellAnchor>
    <xdr:from>
      <xdr:col>26</xdr:col>
      <xdr:colOff>1253091</xdr:colOff>
      <xdr:row>19</xdr:row>
      <xdr:rowOff>70725</xdr:rowOff>
    </xdr:from>
    <xdr:ext cx="432950" cy="360972"/>
    <xdr:pic>
      <xdr:nvPicPr>
        <xdr:cNvPr id="25" name="Imagen 24">
          <a:extLst>
            <a:ext uri="{FF2B5EF4-FFF2-40B4-BE49-F238E27FC236}">
              <a16:creationId xmlns:a16="http://schemas.microsoft.com/office/drawing/2014/main" id="{84805385-6D20-459A-A9F0-68387B971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27793980" y="2612836"/>
          <a:ext cx="360972" cy="432950"/>
        </a:xfrm>
        <a:prstGeom prst="rect">
          <a:avLst/>
        </a:prstGeom>
      </xdr:spPr>
    </xdr:pic>
    <xdr:clientData/>
  </xdr:oneCellAnchor>
  <xdr:oneCellAnchor>
    <xdr:from>
      <xdr:col>26</xdr:col>
      <xdr:colOff>1247374</xdr:colOff>
      <xdr:row>22</xdr:row>
      <xdr:rowOff>88573</xdr:rowOff>
    </xdr:from>
    <xdr:ext cx="426600" cy="373672"/>
    <xdr:pic>
      <xdr:nvPicPr>
        <xdr:cNvPr id="26" name="Imagen 25">
          <a:extLst>
            <a:ext uri="{FF2B5EF4-FFF2-40B4-BE49-F238E27FC236}">
              <a16:creationId xmlns:a16="http://schemas.microsoft.com/office/drawing/2014/main" id="{2DBE9B42-8C12-4BD8-A16C-907F083D2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27785088" y="3183134"/>
          <a:ext cx="373672" cy="426600"/>
        </a:xfrm>
        <a:prstGeom prst="rect">
          <a:avLst/>
        </a:prstGeom>
      </xdr:spPr>
    </xdr:pic>
    <xdr:clientData/>
  </xdr:oneCellAnchor>
  <xdr:oneCellAnchor>
    <xdr:from>
      <xdr:col>29</xdr:col>
      <xdr:colOff>87773</xdr:colOff>
      <xdr:row>13</xdr:row>
      <xdr:rowOff>58519</xdr:rowOff>
    </xdr:from>
    <xdr:ext cx="409595" cy="399074"/>
    <xdr:pic>
      <xdr:nvPicPr>
        <xdr:cNvPr id="35" name="Imagen 34">
          <a:extLst>
            <a:ext uri="{FF2B5EF4-FFF2-40B4-BE49-F238E27FC236}">
              <a16:creationId xmlns:a16="http://schemas.microsoft.com/office/drawing/2014/main" id="{4C17BAA0-D5A4-47D0-AE09-9E7C93C43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29826909" y="1405808"/>
          <a:ext cx="399074" cy="409595"/>
        </a:xfrm>
        <a:prstGeom prst="rect">
          <a:avLst/>
        </a:prstGeom>
      </xdr:spPr>
    </xdr:pic>
    <xdr:clientData/>
  </xdr:oneCellAnchor>
  <xdr:oneCellAnchor>
    <xdr:from>
      <xdr:col>29</xdr:col>
      <xdr:colOff>104305</xdr:colOff>
      <xdr:row>16</xdr:row>
      <xdr:rowOff>143916</xdr:rowOff>
    </xdr:from>
    <xdr:ext cx="406420" cy="389546"/>
    <xdr:pic>
      <xdr:nvPicPr>
        <xdr:cNvPr id="36" name="Imagen 35">
          <a:extLst>
            <a:ext uri="{FF2B5EF4-FFF2-40B4-BE49-F238E27FC236}">
              <a16:creationId xmlns:a16="http://schemas.microsoft.com/office/drawing/2014/main" id="{E87D051A-AA38-4DF0-8C1A-37A441735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29852967" y="2170654"/>
          <a:ext cx="389546" cy="406420"/>
        </a:xfrm>
        <a:prstGeom prst="rect">
          <a:avLst/>
        </a:prstGeom>
      </xdr:spPr>
    </xdr:pic>
    <xdr:clientData/>
  </xdr:oneCellAnchor>
  <xdr:oneCellAnchor>
    <xdr:from>
      <xdr:col>29</xdr:col>
      <xdr:colOff>85397</xdr:colOff>
      <xdr:row>19</xdr:row>
      <xdr:rowOff>151086</xdr:rowOff>
    </xdr:from>
    <xdr:ext cx="396895" cy="393781"/>
    <xdr:pic>
      <xdr:nvPicPr>
        <xdr:cNvPr id="37" name="Imagen 36">
          <a:extLst>
            <a:ext uri="{FF2B5EF4-FFF2-40B4-BE49-F238E27FC236}">
              <a16:creationId xmlns:a16="http://schemas.microsoft.com/office/drawing/2014/main" id="{78ACFDAE-BDC8-46A2-BDEB-32545B162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29827179" y="2730804"/>
          <a:ext cx="393781" cy="396895"/>
        </a:xfrm>
        <a:prstGeom prst="rect">
          <a:avLst/>
        </a:prstGeom>
      </xdr:spPr>
    </xdr:pic>
    <xdr:clientData/>
  </xdr:oneCellAnchor>
  <xdr:oneCellAnchor>
    <xdr:from>
      <xdr:col>29</xdr:col>
      <xdr:colOff>118242</xdr:colOff>
      <xdr:row>22</xdr:row>
      <xdr:rowOff>137949</xdr:rowOff>
    </xdr:from>
    <xdr:ext cx="403245" cy="389547"/>
    <xdr:pic>
      <xdr:nvPicPr>
        <xdr:cNvPr id="38" name="Imagen 37">
          <a:extLst>
            <a:ext uri="{FF2B5EF4-FFF2-40B4-BE49-F238E27FC236}">
              <a16:creationId xmlns:a16="http://schemas.microsoft.com/office/drawing/2014/main" id="{35A3B79D-527E-457F-99A8-CF06687B4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29865316" y="3258475"/>
          <a:ext cx="389547" cy="403245"/>
        </a:xfrm>
        <a:prstGeom prst="rect">
          <a:avLst/>
        </a:prstGeom>
      </xdr:spPr>
    </xdr:pic>
    <xdr:clientData/>
  </xdr:oneCellAnchor>
  <xdr:oneCellAnchor>
    <xdr:from>
      <xdr:col>34</xdr:col>
      <xdr:colOff>1279255</xdr:colOff>
      <xdr:row>13</xdr:row>
      <xdr:rowOff>145174</xdr:rowOff>
    </xdr:from>
    <xdr:ext cx="423425" cy="381082"/>
    <xdr:pic>
      <xdr:nvPicPr>
        <xdr:cNvPr id="39" name="Imagen 38">
          <a:extLst>
            <a:ext uri="{FF2B5EF4-FFF2-40B4-BE49-F238E27FC236}">
              <a16:creationId xmlns:a16="http://schemas.microsoft.com/office/drawing/2014/main" id="{565C8F2C-5F88-477C-BBF5-D7AB5C20D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46439402" y="1473377"/>
          <a:ext cx="381082" cy="423425"/>
        </a:xfrm>
        <a:prstGeom prst="rect">
          <a:avLst/>
        </a:prstGeom>
      </xdr:spPr>
    </xdr:pic>
    <xdr:clientData/>
  </xdr:oneCellAnchor>
  <xdr:oneCellAnchor>
    <xdr:from>
      <xdr:col>34</xdr:col>
      <xdr:colOff>1270607</xdr:colOff>
      <xdr:row>16</xdr:row>
      <xdr:rowOff>105870</xdr:rowOff>
    </xdr:from>
    <xdr:ext cx="439300" cy="373671"/>
    <xdr:pic>
      <xdr:nvPicPr>
        <xdr:cNvPr id="40" name="Imagen 39">
          <a:extLst>
            <a:ext uri="{FF2B5EF4-FFF2-40B4-BE49-F238E27FC236}">
              <a16:creationId xmlns:a16="http://schemas.microsoft.com/office/drawing/2014/main" id="{C30C040A-5150-40FD-9927-6D0D97F36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46439221" y="2108231"/>
          <a:ext cx="373671" cy="439300"/>
        </a:xfrm>
        <a:prstGeom prst="rect">
          <a:avLst/>
        </a:prstGeom>
      </xdr:spPr>
    </xdr:pic>
    <xdr:clientData/>
  </xdr:oneCellAnchor>
  <xdr:oneCellAnchor>
    <xdr:from>
      <xdr:col>34</xdr:col>
      <xdr:colOff>1253091</xdr:colOff>
      <xdr:row>19</xdr:row>
      <xdr:rowOff>70725</xdr:rowOff>
    </xdr:from>
    <xdr:ext cx="432950" cy="360972"/>
    <xdr:pic>
      <xdr:nvPicPr>
        <xdr:cNvPr id="41" name="Imagen 40">
          <a:extLst>
            <a:ext uri="{FF2B5EF4-FFF2-40B4-BE49-F238E27FC236}">
              <a16:creationId xmlns:a16="http://schemas.microsoft.com/office/drawing/2014/main" id="{873F58CC-36BB-4760-86AE-632494A0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46424880" y="2612836"/>
          <a:ext cx="360972" cy="432950"/>
        </a:xfrm>
        <a:prstGeom prst="rect">
          <a:avLst/>
        </a:prstGeom>
      </xdr:spPr>
    </xdr:pic>
    <xdr:clientData/>
  </xdr:oneCellAnchor>
  <xdr:oneCellAnchor>
    <xdr:from>
      <xdr:col>34</xdr:col>
      <xdr:colOff>1247374</xdr:colOff>
      <xdr:row>22</xdr:row>
      <xdr:rowOff>88573</xdr:rowOff>
    </xdr:from>
    <xdr:ext cx="426600" cy="373672"/>
    <xdr:pic>
      <xdr:nvPicPr>
        <xdr:cNvPr id="42" name="Imagen 41">
          <a:extLst>
            <a:ext uri="{FF2B5EF4-FFF2-40B4-BE49-F238E27FC236}">
              <a16:creationId xmlns:a16="http://schemas.microsoft.com/office/drawing/2014/main" id="{B52CB418-EB56-4F45-BF54-93B09F934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46415988" y="3183134"/>
          <a:ext cx="373672" cy="426600"/>
        </a:xfrm>
        <a:prstGeom prst="rect">
          <a:avLst/>
        </a:prstGeom>
      </xdr:spPr>
    </xdr:pic>
    <xdr:clientData/>
  </xdr:oneCellAnchor>
  <xdr:oneCellAnchor>
    <xdr:from>
      <xdr:col>37</xdr:col>
      <xdr:colOff>87773</xdr:colOff>
      <xdr:row>13</xdr:row>
      <xdr:rowOff>58519</xdr:rowOff>
    </xdr:from>
    <xdr:ext cx="409595" cy="399074"/>
    <xdr:pic>
      <xdr:nvPicPr>
        <xdr:cNvPr id="51" name="Imagen 50">
          <a:extLst>
            <a:ext uri="{FF2B5EF4-FFF2-40B4-BE49-F238E27FC236}">
              <a16:creationId xmlns:a16="http://schemas.microsoft.com/office/drawing/2014/main" id="{13E602E6-B2EE-4ADD-BC3C-EE6CD1E93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48457809" y="1405808"/>
          <a:ext cx="399074" cy="409595"/>
        </a:xfrm>
        <a:prstGeom prst="rect">
          <a:avLst/>
        </a:prstGeom>
      </xdr:spPr>
    </xdr:pic>
    <xdr:clientData/>
  </xdr:oneCellAnchor>
  <xdr:oneCellAnchor>
    <xdr:from>
      <xdr:col>37</xdr:col>
      <xdr:colOff>104305</xdr:colOff>
      <xdr:row>16</xdr:row>
      <xdr:rowOff>143916</xdr:rowOff>
    </xdr:from>
    <xdr:ext cx="406420" cy="389546"/>
    <xdr:pic>
      <xdr:nvPicPr>
        <xdr:cNvPr id="52" name="Imagen 51">
          <a:extLst>
            <a:ext uri="{FF2B5EF4-FFF2-40B4-BE49-F238E27FC236}">
              <a16:creationId xmlns:a16="http://schemas.microsoft.com/office/drawing/2014/main" id="{D6E46FF3-F037-4AB8-B061-D60B36AE4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48483867" y="2170654"/>
          <a:ext cx="389546" cy="406420"/>
        </a:xfrm>
        <a:prstGeom prst="rect">
          <a:avLst/>
        </a:prstGeom>
      </xdr:spPr>
    </xdr:pic>
    <xdr:clientData/>
  </xdr:oneCellAnchor>
  <xdr:oneCellAnchor>
    <xdr:from>
      <xdr:col>37</xdr:col>
      <xdr:colOff>85397</xdr:colOff>
      <xdr:row>19</xdr:row>
      <xdr:rowOff>151086</xdr:rowOff>
    </xdr:from>
    <xdr:ext cx="396895" cy="393781"/>
    <xdr:pic>
      <xdr:nvPicPr>
        <xdr:cNvPr id="53" name="Imagen 52">
          <a:extLst>
            <a:ext uri="{FF2B5EF4-FFF2-40B4-BE49-F238E27FC236}">
              <a16:creationId xmlns:a16="http://schemas.microsoft.com/office/drawing/2014/main" id="{0B8F925B-47A3-42C7-9702-EADEC8767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48458079" y="2730804"/>
          <a:ext cx="393781" cy="396895"/>
        </a:xfrm>
        <a:prstGeom prst="rect">
          <a:avLst/>
        </a:prstGeom>
      </xdr:spPr>
    </xdr:pic>
    <xdr:clientData/>
  </xdr:oneCellAnchor>
  <xdr:oneCellAnchor>
    <xdr:from>
      <xdr:col>37</xdr:col>
      <xdr:colOff>118242</xdr:colOff>
      <xdr:row>22</xdr:row>
      <xdr:rowOff>137949</xdr:rowOff>
    </xdr:from>
    <xdr:ext cx="403245" cy="389547"/>
    <xdr:pic>
      <xdr:nvPicPr>
        <xdr:cNvPr id="54" name="Imagen 53">
          <a:extLst>
            <a:ext uri="{FF2B5EF4-FFF2-40B4-BE49-F238E27FC236}">
              <a16:creationId xmlns:a16="http://schemas.microsoft.com/office/drawing/2014/main" id="{AC9BAEE8-62BA-41C2-B5DC-0CA5903AE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48496216" y="3258475"/>
          <a:ext cx="389547" cy="403245"/>
        </a:xfrm>
        <a:prstGeom prst="rect">
          <a:avLst/>
        </a:prstGeom>
      </xdr:spPr>
    </xdr:pic>
    <xdr:clientData/>
  </xdr:oneCellAnchor>
  <xdr:oneCellAnchor>
    <xdr:from>
      <xdr:col>42</xdr:col>
      <xdr:colOff>1279255</xdr:colOff>
      <xdr:row>13</xdr:row>
      <xdr:rowOff>145174</xdr:rowOff>
    </xdr:from>
    <xdr:ext cx="423425" cy="381082"/>
    <xdr:pic>
      <xdr:nvPicPr>
        <xdr:cNvPr id="55" name="Imagen 54">
          <a:extLst>
            <a:ext uri="{FF2B5EF4-FFF2-40B4-BE49-F238E27FC236}">
              <a16:creationId xmlns:a16="http://schemas.microsoft.com/office/drawing/2014/main" id="{72060A63-26DB-462A-AFFC-F60B10B27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5070302" y="1473377"/>
          <a:ext cx="381082" cy="423425"/>
        </a:xfrm>
        <a:prstGeom prst="rect">
          <a:avLst/>
        </a:prstGeom>
      </xdr:spPr>
    </xdr:pic>
    <xdr:clientData/>
  </xdr:oneCellAnchor>
  <xdr:oneCellAnchor>
    <xdr:from>
      <xdr:col>42</xdr:col>
      <xdr:colOff>1270607</xdr:colOff>
      <xdr:row>16</xdr:row>
      <xdr:rowOff>105870</xdr:rowOff>
    </xdr:from>
    <xdr:ext cx="439300" cy="373671"/>
    <xdr:pic>
      <xdr:nvPicPr>
        <xdr:cNvPr id="56" name="Imagen 55">
          <a:extLst>
            <a:ext uri="{FF2B5EF4-FFF2-40B4-BE49-F238E27FC236}">
              <a16:creationId xmlns:a16="http://schemas.microsoft.com/office/drawing/2014/main" id="{D6BE2FBB-3E5C-4A31-81F4-20D663F4C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5070121" y="2108231"/>
          <a:ext cx="373671" cy="439300"/>
        </a:xfrm>
        <a:prstGeom prst="rect">
          <a:avLst/>
        </a:prstGeom>
      </xdr:spPr>
    </xdr:pic>
    <xdr:clientData/>
  </xdr:oneCellAnchor>
  <xdr:oneCellAnchor>
    <xdr:from>
      <xdr:col>42</xdr:col>
      <xdr:colOff>1253091</xdr:colOff>
      <xdr:row>19</xdr:row>
      <xdr:rowOff>70725</xdr:rowOff>
    </xdr:from>
    <xdr:ext cx="432950" cy="360972"/>
    <xdr:pic>
      <xdr:nvPicPr>
        <xdr:cNvPr id="57" name="Imagen 56">
          <a:extLst>
            <a:ext uri="{FF2B5EF4-FFF2-40B4-BE49-F238E27FC236}">
              <a16:creationId xmlns:a16="http://schemas.microsoft.com/office/drawing/2014/main" id="{E6973AAE-0CEB-43E8-B834-2D0F4410D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5055780" y="2612836"/>
          <a:ext cx="360972" cy="432950"/>
        </a:xfrm>
        <a:prstGeom prst="rect">
          <a:avLst/>
        </a:prstGeom>
      </xdr:spPr>
    </xdr:pic>
    <xdr:clientData/>
  </xdr:oneCellAnchor>
  <xdr:oneCellAnchor>
    <xdr:from>
      <xdr:col>42</xdr:col>
      <xdr:colOff>1247374</xdr:colOff>
      <xdr:row>22</xdr:row>
      <xdr:rowOff>88573</xdr:rowOff>
    </xdr:from>
    <xdr:ext cx="426600" cy="373672"/>
    <xdr:pic>
      <xdr:nvPicPr>
        <xdr:cNvPr id="58" name="Imagen 57">
          <a:extLst>
            <a:ext uri="{FF2B5EF4-FFF2-40B4-BE49-F238E27FC236}">
              <a16:creationId xmlns:a16="http://schemas.microsoft.com/office/drawing/2014/main" id="{DD8D69E4-0D64-46A2-88D1-18B6B0092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5046888" y="3183134"/>
          <a:ext cx="373672" cy="426600"/>
        </a:xfrm>
        <a:prstGeom prst="rect">
          <a:avLst/>
        </a:prstGeom>
      </xdr:spPr>
    </xdr:pic>
    <xdr:clientData/>
  </xdr:oneCellAnchor>
  <xdr:oneCellAnchor>
    <xdr:from>
      <xdr:col>45</xdr:col>
      <xdr:colOff>87773</xdr:colOff>
      <xdr:row>13</xdr:row>
      <xdr:rowOff>58519</xdr:rowOff>
    </xdr:from>
    <xdr:ext cx="409595" cy="399074"/>
    <xdr:pic>
      <xdr:nvPicPr>
        <xdr:cNvPr id="59" name="Imagen 58">
          <a:extLst>
            <a:ext uri="{FF2B5EF4-FFF2-40B4-BE49-F238E27FC236}">
              <a16:creationId xmlns:a16="http://schemas.microsoft.com/office/drawing/2014/main" id="{E106F8B0-96DC-4319-8F05-7189A6D41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7088709" y="1405808"/>
          <a:ext cx="399074" cy="409595"/>
        </a:xfrm>
        <a:prstGeom prst="rect">
          <a:avLst/>
        </a:prstGeom>
      </xdr:spPr>
    </xdr:pic>
    <xdr:clientData/>
  </xdr:oneCellAnchor>
  <xdr:oneCellAnchor>
    <xdr:from>
      <xdr:col>45</xdr:col>
      <xdr:colOff>104305</xdr:colOff>
      <xdr:row>16</xdr:row>
      <xdr:rowOff>143916</xdr:rowOff>
    </xdr:from>
    <xdr:ext cx="406420" cy="389546"/>
    <xdr:pic>
      <xdr:nvPicPr>
        <xdr:cNvPr id="60" name="Imagen 59">
          <a:extLst>
            <a:ext uri="{FF2B5EF4-FFF2-40B4-BE49-F238E27FC236}">
              <a16:creationId xmlns:a16="http://schemas.microsoft.com/office/drawing/2014/main" id="{8BDB94DB-52C4-4FDC-87BF-826500786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7114767" y="2170654"/>
          <a:ext cx="389546" cy="406420"/>
        </a:xfrm>
        <a:prstGeom prst="rect">
          <a:avLst/>
        </a:prstGeom>
      </xdr:spPr>
    </xdr:pic>
    <xdr:clientData/>
  </xdr:oneCellAnchor>
  <xdr:oneCellAnchor>
    <xdr:from>
      <xdr:col>45</xdr:col>
      <xdr:colOff>85397</xdr:colOff>
      <xdr:row>19</xdr:row>
      <xdr:rowOff>151086</xdr:rowOff>
    </xdr:from>
    <xdr:ext cx="396895" cy="393781"/>
    <xdr:pic>
      <xdr:nvPicPr>
        <xdr:cNvPr id="61" name="Imagen 60">
          <a:extLst>
            <a:ext uri="{FF2B5EF4-FFF2-40B4-BE49-F238E27FC236}">
              <a16:creationId xmlns:a16="http://schemas.microsoft.com/office/drawing/2014/main" id="{EAA1C18A-09A9-4EB0-93D2-B43582EE3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7088979" y="2730804"/>
          <a:ext cx="393781" cy="396895"/>
        </a:xfrm>
        <a:prstGeom prst="rect">
          <a:avLst/>
        </a:prstGeom>
      </xdr:spPr>
    </xdr:pic>
    <xdr:clientData/>
  </xdr:oneCellAnchor>
  <xdr:oneCellAnchor>
    <xdr:from>
      <xdr:col>45</xdr:col>
      <xdr:colOff>118242</xdr:colOff>
      <xdr:row>22</xdr:row>
      <xdr:rowOff>137949</xdr:rowOff>
    </xdr:from>
    <xdr:ext cx="403245" cy="389547"/>
    <xdr:pic>
      <xdr:nvPicPr>
        <xdr:cNvPr id="62" name="Imagen 61">
          <a:extLst>
            <a:ext uri="{FF2B5EF4-FFF2-40B4-BE49-F238E27FC236}">
              <a16:creationId xmlns:a16="http://schemas.microsoft.com/office/drawing/2014/main" id="{ACE1EE86-153E-4E69-A4A0-C4C24325A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7127116" y="3258475"/>
          <a:ext cx="389547" cy="403245"/>
        </a:xfrm>
        <a:prstGeom prst="rect">
          <a:avLst/>
        </a:prstGeom>
      </xdr:spPr>
    </xdr:pic>
    <xdr:clientData/>
  </xdr:oneCellAnchor>
  <xdr:oneCellAnchor>
    <xdr:from>
      <xdr:col>50</xdr:col>
      <xdr:colOff>1279255</xdr:colOff>
      <xdr:row>13</xdr:row>
      <xdr:rowOff>145174</xdr:rowOff>
    </xdr:from>
    <xdr:ext cx="423425" cy="381082"/>
    <xdr:pic>
      <xdr:nvPicPr>
        <xdr:cNvPr id="63" name="Imagen 62">
          <a:extLst>
            <a:ext uri="{FF2B5EF4-FFF2-40B4-BE49-F238E27FC236}">
              <a16:creationId xmlns:a16="http://schemas.microsoft.com/office/drawing/2014/main" id="{AB35950C-02C1-43A0-9F04-BB9DF8660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3701202" y="1473377"/>
          <a:ext cx="381082" cy="423425"/>
        </a:xfrm>
        <a:prstGeom prst="rect">
          <a:avLst/>
        </a:prstGeom>
      </xdr:spPr>
    </xdr:pic>
    <xdr:clientData/>
  </xdr:oneCellAnchor>
  <xdr:oneCellAnchor>
    <xdr:from>
      <xdr:col>50</xdr:col>
      <xdr:colOff>1270607</xdr:colOff>
      <xdr:row>16</xdr:row>
      <xdr:rowOff>105870</xdr:rowOff>
    </xdr:from>
    <xdr:ext cx="439300" cy="373671"/>
    <xdr:pic>
      <xdr:nvPicPr>
        <xdr:cNvPr id="64" name="Imagen 63">
          <a:extLst>
            <a:ext uri="{FF2B5EF4-FFF2-40B4-BE49-F238E27FC236}">
              <a16:creationId xmlns:a16="http://schemas.microsoft.com/office/drawing/2014/main" id="{03EAFFDD-1109-4ED9-8A92-B6F8DCA00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3701021" y="2108231"/>
          <a:ext cx="373671" cy="439300"/>
        </a:xfrm>
        <a:prstGeom prst="rect">
          <a:avLst/>
        </a:prstGeom>
      </xdr:spPr>
    </xdr:pic>
    <xdr:clientData/>
  </xdr:oneCellAnchor>
  <xdr:oneCellAnchor>
    <xdr:from>
      <xdr:col>50</xdr:col>
      <xdr:colOff>1253091</xdr:colOff>
      <xdr:row>19</xdr:row>
      <xdr:rowOff>70725</xdr:rowOff>
    </xdr:from>
    <xdr:ext cx="432950" cy="360972"/>
    <xdr:pic>
      <xdr:nvPicPr>
        <xdr:cNvPr id="65" name="Imagen 64">
          <a:extLst>
            <a:ext uri="{FF2B5EF4-FFF2-40B4-BE49-F238E27FC236}">
              <a16:creationId xmlns:a16="http://schemas.microsoft.com/office/drawing/2014/main" id="{C9B256DE-0738-46C9-BF35-FCB9B1447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3686680" y="2612836"/>
          <a:ext cx="360972" cy="432950"/>
        </a:xfrm>
        <a:prstGeom prst="rect">
          <a:avLst/>
        </a:prstGeom>
      </xdr:spPr>
    </xdr:pic>
    <xdr:clientData/>
  </xdr:oneCellAnchor>
  <xdr:oneCellAnchor>
    <xdr:from>
      <xdr:col>50</xdr:col>
      <xdr:colOff>1247374</xdr:colOff>
      <xdr:row>22</xdr:row>
      <xdr:rowOff>88573</xdr:rowOff>
    </xdr:from>
    <xdr:ext cx="426600" cy="373672"/>
    <xdr:pic>
      <xdr:nvPicPr>
        <xdr:cNvPr id="66" name="Imagen 65">
          <a:extLst>
            <a:ext uri="{FF2B5EF4-FFF2-40B4-BE49-F238E27FC236}">
              <a16:creationId xmlns:a16="http://schemas.microsoft.com/office/drawing/2014/main" id="{B7697297-DFD3-4A08-ACD8-B3A8CC265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3677788" y="3183134"/>
          <a:ext cx="373672" cy="426600"/>
        </a:xfrm>
        <a:prstGeom prst="rect">
          <a:avLst/>
        </a:prstGeom>
      </xdr:spPr>
    </xdr:pic>
    <xdr:clientData/>
  </xdr:oneCellAnchor>
  <xdr:twoCellAnchor>
    <xdr:from>
      <xdr:col>7</xdr:col>
      <xdr:colOff>165099</xdr:colOff>
      <xdr:row>1</xdr:row>
      <xdr:rowOff>38100</xdr:rowOff>
    </xdr:from>
    <xdr:to>
      <xdr:col>10</xdr:col>
      <xdr:colOff>9525</xdr:colOff>
      <xdr:row>7</xdr:row>
      <xdr:rowOff>20003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5320BFFC-5F5F-490E-BC0D-7B698F618EDB}"/>
            </a:ext>
          </a:extLst>
        </xdr:cNvPr>
        <xdr:cNvSpPr/>
      </xdr:nvSpPr>
      <xdr:spPr>
        <a:xfrm>
          <a:off x="3365499" y="219075"/>
          <a:ext cx="4445001" cy="106775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273336</xdr:colOff>
      <xdr:row>1</xdr:row>
      <xdr:rowOff>130175</xdr:rowOff>
    </xdr:from>
    <xdr:to>
      <xdr:col>7</xdr:col>
      <xdr:colOff>4483100</xdr:colOff>
      <xdr:row>6</xdr:row>
      <xdr:rowOff>104775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8C2DDFAD-4EE9-4C40-B13C-3A259BE72177}"/>
            </a:ext>
          </a:extLst>
        </xdr:cNvPr>
        <xdr:cNvSpPr txBox="1"/>
      </xdr:nvSpPr>
      <xdr:spPr>
        <a:xfrm>
          <a:off x="3473736" y="311150"/>
          <a:ext cx="4209764" cy="879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aseline="0"/>
            <a:t>During the 5 Whys analysis, alternative paths may emerge from the same cause. Within this template, you can add those paths using the “+” button (cell grouping) available on the toolbar.</a:t>
          </a:r>
        </a:p>
        <a:p>
          <a:br>
            <a:rPr lang="es-ES" sz="1100" baseline="0"/>
          </a:br>
          <a:endParaRPr lang="es-ES" sz="1100"/>
        </a:p>
      </xdr:txBody>
    </xdr:sp>
    <xdr:clientData/>
  </xdr:twoCellAnchor>
  <xdr:twoCellAnchor editAs="oneCell">
    <xdr:from>
      <xdr:col>7</xdr:col>
      <xdr:colOff>4556124</xdr:colOff>
      <xdr:row>0</xdr:row>
      <xdr:rowOff>145651</xdr:rowOff>
    </xdr:from>
    <xdr:to>
      <xdr:col>10</xdr:col>
      <xdr:colOff>857249</xdr:colOff>
      <xdr:row>5</xdr:row>
      <xdr:rowOff>155176</xdr:rowOff>
    </xdr:to>
    <xdr:pic>
      <xdr:nvPicPr>
        <xdr:cNvPr id="30" name="Gráfico 29" descr="Flecha: curva en sentido contrario de las agujas del reloj con relleno sólido">
          <a:extLst>
            <a:ext uri="{FF2B5EF4-FFF2-40B4-BE49-F238E27FC236}">
              <a16:creationId xmlns:a16="http://schemas.microsoft.com/office/drawing/2014/main" id="{AE660027-C621-4D28-2F9D-F5D7935E7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 rot="3884363">
          <a:off x="7750174" y="152001"/>
          <a:ext cx="914400" cy="9017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291353</xdr:colOff>
      <xdr:row>9</xdr:row>
      <xdr:rowOff>150872</xdr:rowOff>
    </xdr:from>
    <xdr:to>
      <xdr:col>3</xdr:col>
      <xdr:colOff>511752</xdr:colOff>
      <xdr:row>28</xdr:row>
      <xdr:rowOff>14380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8160267F-71BE-4AE2-A381-4CB6BC294879}"/>
            </a:ext>
          </a:extLst>
        </xdr:cNvPr>
        <xdr:cNvSpPr/>
      </xdr:nvSpPr>
      <xdr:spPr>
        <a:xfrm>
          <a:off x="291353" y="1764519"/>
          <a:ext cx="2607252" cy="350542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349998</xdr:colOff>
      <xdr:row>10</xdr:row>
      <xdr:rowOff>88391</xdr:rowOff>
    </xdr:from>
    <xdr:to>
      <xdr:col>0</xdr:col>
      <xdr:colOff>577732</xdr:colOff>
      <xdr:row>11</xdr:row>
      <xdr:rowOff>62379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CDC52007-0F08-423F-8D14-4D6577C5DFCE}"/>
            </a:ext>
          </a:extLst>
        </xdr:cNvPr>
        <xdr:cNvSpPr/>
      </xdr:nvSpPr>
      <xdr:spPr>
        <a:xfrm>
          <a:off x="349998" y="1926156"/>
          <a:ext cx="227734" cy="198105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1</a:t>
          </a:r>
        </a:p>
      </xdr:txBody>
    </xdr:sp>
    <xdr:clientData/>
  </xdr:twoCellAnchor>
  <xdr:twoCellAnchor>
    <xdr:from>
      <xdr:col>0</xdr:col>
      <xdr:colOff>672339</xdr:colOff>
      <xdr:row>9</xdr:row>
      <xdr:rowOff>202299</xdr:rowOff>
    </xdr:from>
    <xdr:to>
      <xdr:col>3</xdr:col>
      <xdr:colOff>453721</xdr:colOff>
      <xdr:row>14</xdr:row>
      <xdr:rowOff>78440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64BB8FE0-6BA1-4FBC-82FE-1A4D6D67A781}"/>
            </a:ext>
          </a:extLst>
        </xdr:cNvPr>
        <xdr:cNvSpPr txBox="1"/>
      </xdr:nvSpPr>
      <xdr:spPr>
        <a:xfrm>
          <a:off x="672339" y="1815946"/>
          <a:ext cx="2168235" cy="1007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Perform the analysis for each cause resulting from the Multi-Voting Matrix. The final "Why" is considered the root cause.</a:t>
          </a:r>
        </a:p>
      </xdr:txBody>
    </xdr:sp>
    <xdr:clientData/>
  </xdr:twoCellAnchor>
  <xdr:twoCellAnchor>
    <xdr:from>
      <xdr:col>0</xdr:col>
      <xdr:colOff>273797</xdr:colOff>
      <xdr:row>7</xdr:row>
      <xdr:rowOff>132789</xdr:rowOff>
    </xdr:from>
    <xdr:to>
      <xdr:col>3</xdr:col>
      <xdr:colOff>511780</xdr:colOff>
      <xdr:row>9</xdr:row>
      <xdr:rowOff>116813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A33F0908-0121-427A-928A-2E50E3F86B52}"/>
            </a:ext>
          </a:extLst>
        </xdr:cNvPr>
        <xdr:cNvSpPr/>
      </xdr:nvSpPr>
      <xdr:spPr>
        <a:xfrm>
          <a:off x="273797" y="1387848"/>
          <a:ext cx="2624836" cy="34261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358589</xdr:colOff>
      <xdr:row>7</xdr:row>
      <xdr:rowOff>47998</xdr:rowOff>
    </xdr:from>
    <xdr:to>
      <xdr:col>3</xdr:col>
      <xdr:colOff>381151</xdr:colOff>
      <xdr:row>9</xdr:row>
      <xdr:rowOff>209533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56843D1E-A136-40E1-AD10-08B6B3FE8464}"/>
            </a:ext>
          </a:extLst>
        </xdr:cNvPr>
        <xdr:cNvSpPr txBox="1"/>
      </xdr:nvSpPr>
      <xdr:spPr>
        <a:xfrm>
          <a:off x="358589" y="1303057"/>
          <a:ext cx="2409415" cy="5201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600" b="1"/>
            <a:t>STEPS</a:t>
          </a:r>
        </a:p>
      </xdr:txBody>
    </xdr:sp>
    <xdr:clientData/>
  </xdr:twoCellAnchor>
  <xdr:twoCellAnchor>
    <xdr:from>
      <xdr:col>3</xdr:col>
      <xdr:colOff>655732</xdr:colOff>
      <xdr:row>11</xdr:row>
      <xdr:rowOff>128360</xdr:rowOff>
    </xdr:from>
    <xdr:to>
      <xdr:col>4</xdr:col>
      <xdr:colOff>87848</xdr:colOff>
      <xdr:row>12</xdr:row>
      <xdr:rowOff>165541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26DF60AD-6D6A-4B9C-8FCB-35D2D65DA30E}"/>
            </a:ext>
          </a:extLst>
        </xdr:cNvPr>
        <xdr:cNvSpPr/>
      </xdr:nvSpPr>
      <xdr:spPr>
        <a:xfrm>
          <a:off x="655732" y="2190242"/>
          <a:ext cx="227734" cy="216475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1</a:t>
          </a:r>
        </a:p>
      </xdr:txBody>
    </xdr:sp>
    <xdr:clientData/>
  </xdr:twoCellAnchor>
  <xdr:twoCellAnchor>
    <xdr:from>
      <xdr:col>0</xdr:col>
      <xdr:colOff>377079</xdr:colOff>
      <xdr:row>19</xdr:row>
      <xdr:rowOff>19474</xdr:rowOff>
    </xdr:from>
    <xdr:to>
      <xdr:col>0</xdr:col>
      <xdr:colOff>598463</xdr:colOff>
      <xdr:row>20</xdr:row>
      <xdr:rowOff>56655</xdr:rowOff>
    </xdr:to>
    <xdr:sp macro="" textlink="">
      <xdr:nvSpPr>
        <xdr:cNvPr id="45" name="Elipse 44">
          <a:extLst>
            <a:ext uri="{FF2B5EF4-FFF2-40B4-BE49-F238E27FC236}">
              <a16:creationId xmlns:a16="http://schemas.microsoft.com/office/drawing/2014/main" id="{AA4C2D5C-AD4B-47E6-B55B-5866FFF711F2}"/>
            </a:ext>
          </a:extLst>
        </xdr:cNvPr>
        <xdr:cNvSpPr/>
      </xdr:nvSpPr>
      <xdr:spPr>
        <a:xfrm>
          <a:off x="377079" y="3661386"/>
          <a:ext cx="221384" cy="216475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3</a:t>
          </a:r>
        </a:p>
      </xdr:txBody>
    </xdr:sp>
    <xdr:clientData/>
  </xdr:twoCellAnchor>
  <xdr:twoCellAnchor>
    <xdr:from>
      <xdr:col>0</xdr:col>
      <xdr:colOff>590722</xdr:colOff>
      <xdr:row>18</xdr:row>
      <xdr:rowOff>69509</xdr:rowOff>
    </xdr:from>
    <xdr:to>
      <xdr:col>3</xdr:col>
      <xdr:colOff>378454</xdr:colOff>
      <xdr:row>23</xdr:row>
      <xdr:rowOff>100852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B52C13A2-0CD2-4553-9F59-AEE45AE2E946}"/>
            </a:ext>
          </a:extLst>
        </xdr:cNvPr>
        <xdr:cNvSpPr txBox="1"/>
      </xdr:nvSpPr>
      <xdr:spPr>
        <a:xfrm>
          <a:off x="590722" y="3532127"/>
          <a:ext cx="2174585" cy="927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Validate each "Why" by applying the "therefore" test to ensure the logic is sound and the causal relationship makes sense.</a:t>
          </a:r>
        </a:p>
      </xdr:txBody>
    </xdr:sp>
    <xdr:clientData/>
  </xdr:twoCellAnchor>
  <xdr:twoCellAnchor>
    <xdr:from>
      <xdr:col>10</xdr:col>
      <xdr:colOff>1458073</xdr:colOff>
      <xdr:row>11</xdr:row>
      <xdr:rowOff>93434</xdr:rowOff>
    </xdr:from>
    <xdr:to>
      <xdr:col>11</xdr:col>
      <xdr:colOff>60954</xdr:colOff>
      <xdr:row>12</xdr:row>
      <xdr:rowOff>121090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C438B119-BD6C-4201-B74B-96B6B770409B}"/>
            </a:ext>
          </a:extLst>
        </xdr:cNvPr>
        <xdr:cNvSpPr/>
      </xdr:nvSpPr>
      <xdr:spPr>
        <a:xfrm>
          <a:off x="9246161" y="2155316"/>
          <a:ext cx="227734" cy="206950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3</a:t>
          </a:r>
        </a:p>
      </xdr:txBody>
    </xdr:sp>
    <xdr:clientData/>
  </xdr:twoCellAnchor>
  <xdr:twoCellAnchor>
    <xdr:from>
      <xdr:col>0</xdr:col>
      <xdr:colOff>385483</xdr:colOff>
      <xdr:row>23</xdr:row>
      <xdr:rowOff>157495</xdr:rowOff>
    </xdr:from>
    <xdr:to>
      <xdr:col>0</xdr:col>
      <xdr:colOff>613217</xdr:colOff>
      <xdr:row>25</xdr:row>
      <xdr:rowOff>5857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C2970F8A-1B20-4494-93D6-8902BAC0A032}"/>
            </a:ext>
          </a:extLst>
        </xdr:cNvPr>
        <xdr:cNvSpPr/>
      </xdr:nvSpPr>
      <xdr:spPr>
        <a:xfrm>
          <a:off x="385483" y="4516583"/>
          <a:ext cx="227734" cy="206950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4</a:t>
          </a:r>
        </a:p>
      </xdr:txBody>
    </xdr:sp>
    <xdr:clientData/>
  </xdr:twoCellAnchor>
  <xdr:twoCellAnchor>
    <xdr:from>
      <xdr:col>0</xdr:col>
      <xdr:colOff>624526</xdr:colOff>
      <xdr:row>23</xdr:row>
      <xdr:rowOff>47286</xdr:rowOff>
    </xdr:from>
    <xdr:to>
      <xdr:col>3</xdr:col>
      <xdr:colOff>396383</xdr:colOff>
      <xdr:row>28</xdr:row>
      <xdr:rowOff>59578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CFDABA61-86F8-43AA-B907-4C01BD2C4A63}"/>
            </a:ext>
          </a:extLst>
        </xdr:cNvPr>
        <xdr:cNvSpPr txBox="1"/>
      </xdr:nvSpPr>
      <xdr:spPr>
        <a:xfrm>
          <a:off x="624526" y="4406374"/>
          <a:ext cx="2158710" cy="9087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Continue with the Countermeasures for each root cause (next tab).</a:t>
          </a:r>
        </a:p>
      </xdr:txBody>
    </xdr:sp>
    <xdr:clientData/>
  </xdr:twoCellAnchor>
  <xdr:twoCellAnchor>
    <xdr:from>
      <xdr:col>6</xdr:col>
      <xdr:colOff>715309</xdr:colOff>
      <xdr:row>26</xdr:row>
      <xdr:rowOff>160669</xdr:rowOff>
    </xdr:from>
    <xdr:to>
      <xdr:col>7</xdr:col>
      <xdr:colOff>153775</xdr:colOff>
      <xdr:row>28</xdr:row>
      <xdr:rowOff>9031</xdr:rowOff>
    </xdr:to>
    <xdr:sp macro="" textlink="">
      <xdr:nvSpPr>
        <xdr:cNvPr id="68" name="Elipse 67">
          <a:extLst>
            <a:ext uri="{FF2B5EF4-FFF2-40B4-BE49-F238E27FC236}">
              <a16:creationId xmlns:a16="http://schemas.microsoft.com/office/drawing/2014/main" id="{A1D12A30-1375-4F8F-8A13-07519C7CDFC8}"/>
            </a:ext>
          </a:extLst>
        </xdr:cNvPr>
        <xdr:cNvSpPr/>
      </xdr:nvSpPr>
      <xdr:spPr>
        <a:xfrm>
          <a:off x="3102162" y="5057640"/>
          <a:ext cx="234084" cy="206950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>
              <a:solidFill>
                <a:schemeClr val="bg1"/>
              </a:solidFill>
            </a:rPr>
            <a:t>4</a:t>
          </a:r>
        </a:p>
      </xdr:txBody>
    </xdr:sp>
    <xdr:clientData/>
  </xdr:twoCellAnchor>
  <xdr:twoCellAnchor>
    <xdr:from>
      <xdr:col>0</xdr:col>
      <xdr:colOff>396315</xdr:colOff>
      <xdr:row>14</xdr:row>
      <xdr:rowOff>150770</xdr:rowOff>
    </xdr:from>
    <xdr:to>
      <xdr:col>0</xdr:col>
      <xdr:colOff>617699</xdr:colOff>
      <xdr:row>15</xdr:row>
      <xdr:rowOff>178425</xdr:rowOff>
    </xdr:to>
    <xdr:sp macro="" textlink="">
      <xdr:nvSpPr>
        <xdr:cNvPr id="69" name="Elipse 68">
          <a:extLst>
            <a:ext uri="{FF2B5EF4-FFF2-40B4-BE49-F238E27FC236}">
              <a16:creationId xmlns:a16="http://schemas.microsoft.com/office/drawing/2014/main" id="{62D7A709-9C94-47BD-9E35-5DC9073ACD0E}"/>
            </a:ext>
          </a:extLst>
        </xdr:cNvPr>
        <xdr:cNvSpPr/>
      </xdr:nvSpPr>
      <xdr:spPr>
        <a:xfrm>
          <a:off x="396315" y="2896211"/>
          <a:ext cx="221384" cy="206949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2</a:t>
          </a:r>
        </a:p>
      </xdr:txBody>
    </xdr:sp>
    <xdr:clientData/>
  </xdr:twoCellAnchor>
  <xdr:twoCellAnchor>
    <xdr:from>
      <xdr:col>0</xdr:col>
      <xdr:colOff>609958</xdr:colOff>
      <xdr:row>14</xdr:row>
      <xdr:rowOff>31036</xdr:rowOff>
    </xdr:from>
    <xdr:to>
      <xdr:col>3</xdr:col>
      <xdr:colOff>397690</xdr:colOff>
      <xdr:row>19</xdr:row>
      <xdr:rowOff>65553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91FF3DDC-9AB5-41E4-BD9A-476216906B62}"/>
            </a:ext>
          </a:extLst>
        </xdr:cNvPr>
        <xdr:cNvSpPr txBox="1"/>
      </xdr:nvSpPr>
      <xdr:spPr>
        <a:xfrm>
          <a:off x="609958" y="2776477"/>
          <a:ext cx="2174585" cy="9309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Copy and paste the final "Why" into the "ROOT CAUSE IDENTIFIED" box.</a:t>
          </a:r>
        </a:p>
      </xdr:txBody>
    </xdr:sp>
    <xdr:clientData/>
  </xdr:twoCellAnchor>
  <xdr:oneCellAnchor>
    <xdr:from>
      <xdr:col>18</xdr:col>
      <xdr:colOff>1279255</xdr:colOff>
      <xdr:row>13</xdr:row>
      <xdr:rowOff>145174</xdr:rowOff>
    </xdr:from>
    <xdr:ext cx="419503" cy="380521"/>
    <xdr:pic>
      <xdr:nvPicPr>
        <xdr:cNvPr id="72" name="Imagen 71">
          <a:extLst>
            <a:ext uri="{FF2B5EF4-FFF2-40B4-BE49-F238E27FC236}">
              <a16:creationId xmlns:a16="http://schemas.microsoft.com/office/drawing/2014/main" id="{73C5E7E3-A742-48E7-89B3-D77B6F93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3687" y="2542979"/>
          <a:ext cx="380521" cy="419503"/>
        </a:xfrm>
        <a:prstGeom prst="rect">
          <a:avLst/>
        </a:prstGeom>
      </xdr:spPr>
    </xdr:pic>
    <xdr:clientData/>
  </xdr:oneCellAnchor>
  <xdr:oneCellAnchor>
    <xdr:from>
      <xdr:col>18</xdr:col>
      <xdr:colOff>1270607</xdr:colOff>
      <xdr:row>16</xdr:row>
      <xdr:rowOff>105870</xdr:rowOff>
    </xdr:from>
    <xdr:ext cx="435378" cy="370310"/>
    <xdr:pic>
      <xdr:nvPicPr>
        <xdr:cNvPr id="73" name="Imagen 72">
          <a:extLst>
            <a:ext uri="{FF2B5EF4-FFF2-40B4-BE49-F238E27FC236}">
              <a16:creationId xmlns:a16="http://schemas.microsoft.com/office/drawing/2014/main" id="{EFEDD5E5-17B2-4A6E-AA18-32D5747A7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4907" y="3174190"/>
          <a:ext cx="370310" cy="435378"/>
        </a:xfrm>
        <a:prstGeom prst="rect">
          <a:avLst/>
        </a:prstGeom>
      </xdr:spPr>
    </xdr:pic>
    <xdr:clientData/>
  </xdr:oneCellAnchor>
  <xdr:oneCellAnchor>
    <xdr:from>
      <xdr:col>18</xdr:col>
      <xdr:colOff>1253091</xdr:colOff>
      <xdr:row>19</xdr:row>
      <xdr:rowOff>70725</xdr:rowOff>
    </xdr:from>
    <xdr:ext cx="429028" cy="360785"/>
    <xdr:pic>
      <xdr:nvPicPr>
        <xdr:cNvPr id="74" name="Imagen 73">
          <a:extLst>
            <a:ext uri="{FF2B5EF4-FFF2-40B4-BE49-F238E27FC236}">
              <a16:creationId xmlns:a16="http://schemas.microsoft.com/office/drawing/2014/main" id="{7184D7F9-D39F-4B2C-AA49-E76278D4D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8978" y="3675341"/>
          <a:ext cx="360785" cy="429028"/>
        </a:xfrm>
        <a:prstGeom prst="rect">
          <a:avLst/>
        </a:prstGeom>
      </xdr:spPr>
    </xdr:pic>
    <xdr:clientData/>
  </xdr:oneCellAnchor>
  <xdr:oneCellAnchor>
    <xdr:from>
      <xdr:col>18</xdr:col>
      <xdr:colOff>1247374</xdr:colOff>
      <xdr:row>22</xdr:row>
      <xdr:rowOff>88573</xdr:rowOff>
    </xdr:from>
    <xdr:ext cx="419503" cy="370310"/>
    <xdr:pic>
      <xdr:nvPicPr>
        <xdr:cNvPr id="75" name="Imagen 74">
          <a:extLst>
            <a:ext uri="{FF2B5EF4-FFF2-40B4-BE49-F238E27FC236}">
              <a16:creationId xmlns:a16="http://schemas.microsoft.com/office/drawing/2014/main" id="{9251573D-4F35-4E5E-A612-F383DCC64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0087" y="4240595"/>
          <a:ext cx="370310" cy="419503"/>
        </a:xfrm>
        <a:prstGeom prst="rect">
          <a:avLst/>
        </a:prstGeom>
      </xdr:spPr>
    </xdr:pic>
    <xdr:clientData/>
  </xdr:oneCellAnchor>
  <xdr:oneCellAnchor>
    <xdr:from>
      <xdr:col>26</xdr:col>
      <xdr:colOff>1279255</xdr:colOff>
      <xdr:row>13</xdr:row>
      <xdr:rowOff>145174</xdr:rowOff>
    </xdr:from>
    <xdr:ext cx="419503" cy="380521"/>
    <xdr:pic>
      <xdr:nvPicPr>
        <xdr:cNvPr id="81" name="Imagen 80">
          <a:extLst>
            <a:ext uri="{FF2B5EF4-FFF2-40B4-BE49-F238E27FC236}">
              <a16:creationId xmlns:a16="http://schemas.microsoft.com/office/drawing/2014/main" id="{6C246FD1-B8C2-4636-909B-B94A6114B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3687" y="2542979"/>
          <a:ext cx="380521" cy="419503"/>
        </a:xfrm>
        <a:prstGeom prst="rect">
          <a:avLst/>
        </a:prstGeom>
      </xdr:spPr>
    </xdr:pic>
    <xdr:clientData/>
  </xdr:oneCellAnchor>
  <xdr:oneCellAnchor>
    <xdr:from>
      <xdr:col>26</xdr:col>
      <xdr:colOff>1270607</xdr:colOff>
      <xdr:row>16</xdr:row>
      <xdr:rowOff>105870</xdr:rowOff>
    </xdr:from>
    <xdr:ext cx="435378" cy="370310"/>
    <xdr:pic>
      <xdr:nvPicPr>
        <xdr:cNvPr id="82" name="Imagen 81">
          <a:extLst>
            <a:ext uri="{FF2B5EF4-FFF2-40B4-BE49-F238E27FC236}">
              <a16:creationId xmlns:a16="http://schemas.microsoft.com/office/drawing/2014/main" id="{99B28060-5393-4156-A184-EA04905FC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4907" y="3174190"/>
          <a:ext cx="370310" cy="435378"/>
        </a:xfrm>
        <a:prstGeom prst="rect">
          <a:avLst/>
        </a:prstGeom>
      </xdr:spPr>
    </xdr:pic>
    <xdr:clientData/>
  </xdr:oneCellAnchor>
  <xdr:oneCellAnchor>
    <xdr:from>
      <xdr:col>26</xdr:col>
      <xdr:colOff>1253091</xdr:colOff>
      <xdr:row>19</xdr:row>
      <xdr:rowOff>70725</xdr:rowOff>
    </xdr:from>
    <xdr:ext cx="429028" cy="357610"/>
    <xdr:pic>
      <xdr:nvPicPr>
        <xdr:cNvPr id="83" name="Imagen 82">
          <a:extLst>
            <a:ext uri="{FF2B5EF4-FFF2-40B4-BE49-F238E27FC236}">
              <a16:creationId xmlns:a16="http://schemas.microsoft.com/office/drawing/2014/main" id="{1D261034-94FC-4E80-B4E0-8F8AC67A1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60566" y="3673753"/>
          <a:ext cx="357610" cy="429028"/>
        </a:xfrm>
        <a:prstGeom prst="rect">
          <a:avLst/>
        </a:prstGeom>
      </xdr:spPr>
    </xdr:pic>
    <xdr:clientData/>
  </xdr:oneCellAnchor>
  <xdr:oneCellAnchor>
    <xdr:from>
      <xdr:col>26</xdr:col>
      <xdr:colOff>1247374</xdr:colOff>
      <xdr:row>22</xdr:row>
      <xdr:rowOff>88573</xdr:rowOff>
    </xdr:from>
    <xdr:ext cx="422678" cy="370310"/>
    <xdr:pic>
      <xdr:nvPicPr>
        <xdr:cNvPr id="84" name="Imagen 83">
          <a:extLst>
            <a:ext uri="{FF2B5EF4-FFF2-40B4-BE49-F238E27FC236}">
              <a16:creationId xmlns:a16="http://schemas.microsoft.com/office/drawing/2014/main" id="{3459E598-052E-4894-853D-2DE5AF69F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1674" y="4239008"/>
          <a:ext cx="370310" cy="422678"/>
        </a:xfrm>
        <a:prstGeom prst="rect">
          <a:avLst/>
        </a:prstGeom>
      </xdr:spPr>
    </xdr:pic>
    <xdr:clientData/>
  </xdr:oneCellAnchor>
  <xdr:oneCellAnchor>
    <xdr:from>
      <xdr:col>34</xdr:col>
      <xdr:colOff>1279255</xdr:colOff>
      <xdr:row>13</xdr:row>
      <xdr:rowOff>145174</xdr:rowOff>
    </xdr:from>
    <xdr:ext cx="419503" cy="380521"/>
    <xdr:pic>
      <xdr:nvPicPr>
        <xdr:cNvPr id="90" name="Imagen 89">
          <a:extLst>
            <a:ext uri="{FF2B5EF4-FFF2-40B4-BE49-F238E27FC236}">
              <a16:creationId xmlns:a16="http://schemas.microsoft.com/office/drawing/2014/main" id="{EB17CA5C-8CD6-4730-BAC7-4F62C1CB8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3687" y="2542979"/>
          <a:ext cx="380521" cy="419503"/>
        </a:xfrm>
        <a:prstGeom prst="rect">
          <a:avLst/>
        </a:prstGeom>
      </xdr:spPr>
    </xdr:pic>
    <xdr:clientData/>
  </xdr:oneCellAnchor>
  <xdr:oneCellAnchor>
    <xdr:from>
      <xdr:col>34</xdr:col>
      <xdr:colOff>1270607</xdr:colOff>
      <xdr:row>16</xdr:row>
      <xdr:rowOff>105870</xdr:rowOff>
    </xdr:from>
    <xdr:ext cx="435378" cy="370310"/>
    <xdr:pic>
      <xdr:nvPicPr>
        <xdr:cNvPr id="91" name="Imagen 90">
          <a:extLst>
            <a:ext uri="{FF2B5EF4-FFF2-40B4-BE49-F238E27FC236}">
              <a16:creationId xmlns:a16="http://schemas.microsoft.com/office/drawing/2014/main" id="{73DC32B1-C60F-42FA-A729-6EC87F1E1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4907" y="3174190"/>
          <a:ext cx="370310" cy="435378"/>
        </a:xfrm>
        <a:prstGeom prst="rect">
          <a:avLst/>
        </a:prstGeom>
      </xdr:spPr>
    </xdr:pic>
    <xdr:clientData/>
  </xdr:oneCellAnchor>
  <xdr:oneCellAnchor>
    <xdr:from>
      <xdr:col>34</xdr:col>
      <xdr:colOff>1253091</xdr:colOff>
      <xdr:row>19</xdr:row>
      <xdr:rowOff>70725</xdr:rowOff>
    </xdr:from>
    <xdr:ext cx="429028" cy="360785"/>
    <xdr:pic>
      <xdr:nvPicPr>
        <xdr:cNvPr id="92" name="Imagen 91">
          <a:extLst>
            <a:ext uri="{FF2B5EF4-FFF2-40B4-BE49-F238E27FC236}">
              <a16:creationId xmlns:a16="http://schemas.microsoft.com/office/drawing/2014/main" id="{1A1BBAEB-BA8A-4C80-B4DA-C69BD673D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8978" y="3675341"/>
          <a:ext cx="360785" cy="429028"/>
        </a:xfrm>
        <a:prstGeom prst="rect">
          <a:avLst/>
        </a:prstGeom>
      </xdr:spPr>
    </xdr:pic>
    <xdr:clientData/>
  </xdr:oneCellAnchor>
  <xdr:oneCellAnchor>
    <xdr:from>
      <xdr:col>34</xdr:col>
      <xdr:colOff>1247374</xdr:colOff>
      <xdr:row>22</xdr:row>
      <xdr:rowOff>88573</xdr:rowOff>
    </xdr:from>
    <xdr:ext cx="419503" cy="370310"/>
    <xdr:pic>
      <xdr:nvPicPr>
        <xdr:cNvPr id="93" name="Imagen 92">
          <a:extLst>
            <a:ext uri="{FF2B5EF4-FFF2-40B4-BE49-F238E27FC236}">
              <a16:creationId xmlns:a16="http://schemas.microsoft.com/office/drawing/2014/main" id="{E55E28B2-5A9D-432A-959E-1BDAF03EC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0087" y="4240595"/>
          <a:ext cx="370310" cy="419503"/>
        </a:xfrm>
        <a:prstGeom prst="rect">
          <a:avLst/>
        </a:prstGeom>
      </xdr:spPr>
    </xdr:pic>
    <xdr:clientData/>
  </xdr:oneCellAnchor>
  <xdr:oneCellAnchor>
    <xdr:from>
      <xdr:col>42</xdr:col>
      <xdr:colOff>1279255</xdr:colOff>
      <xdr:row>13</xdr:row>
      <xdr:rowOff>145174</xdr:rowOff>
    </xdr:from>
    <xdr:ext cx="419503" cy="380521"/>
    <xdr:pic>
      <xdr:nvPicPr>
        <xdr:cNvPr id="99" name="Imagen 98">
          <a:extLst>
            <a:ext uri="{FF2B5EF4-FFF2-40B4-BE49-F238E27FC236}">
              <a16:creationId xmlns:a16="http://schemas.microsoft.com/office/drawing/2014/main" id="{07C94FEB-1376-4681-BEF8-FA01DBE05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3687" y="2542979"/>
          <a:ext cx="380521" cy="419503"/>
        </a:xfrm>
        <a:prstGeom prst="rect">
          <a:avLst/>
        </a:prstGeom>
      </xdr:spPr>
    </xdr:pic>
    <xdr:clientData/>
  </xdr:oneCellAnchor>
  <xdr:oneCellAnchor>
    <xdr:from>
      <xdr:col>42</xdr:col>
      <xdr:colOff>1270607</xdr:colOff>
      <xdr:row>16</xdr:row>
      <xdr:rowOff>105870</xdr:rowOff>
    </xdr:from>
    <xdr:ext cx="435378" cy="370310"/>
    <xdr:pic>
      <xdr:nvPicPr>
        <xdr:cNvPr id="100" name="Imagen 99">
          <a:extLst>
            <a:ext uri="{FF2B5EF4-FFF2-40B4-BE49-F238E27FC236}">
              <a16:creationId xmlns:a16="http://schemas.microsoft.com/office/drawing/2014/main" id="{FB011019-C996-49C1-BDBE-F16DB38B3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4907" y="3174190"/>
          <a:ext cx="370310" cy="435378"/>
        </a:xfrm>
        <a:prstGeom prst="rect">
          <a:avLst/>
        </a:prstGeom>
      </xdr:spPr>
    </xdr:pic>
    <xdr:clientData/>
  </xdr:oneCellAnchor>
  <xdr:oneCellAnchor>
    <xdr:from>
      <xdr:col>42</xdr:col>
      <xdr:colOff>1253091</xdr:colOff>
      <xdr:row>19</xdr:row>
      <xdr:rowOff>70725</xdr:rowOff>
    </xdr:from>
    <xdr:ext cx="429028" cy="357610"/>
    <xdr:pic>
      <xdr:nvPicPr>
        <xdr:cNvPr id="101" name="Imagen 100">
          <a:extLst>
            <a:ext uri="{FF2B5EF4-FFF2-40B4-BE49-F238E27FC236}">
              <a16:creationId xmlns:a16="http://schemas.microsoft.com/office/drawing/2014/main" id="{CF71E2C6-27C9-4086-8EA1-15CE9EAB4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60566" y="3673753"/>
          <a:ext cx="357610" cy="429028"/>
        </a:xfrm>
        <a:prstGeom prst="rect">
          <a:avLst/>
        </a:prstGeom>
      </xdr:spPr>
    </xdr:pic>
    <xdr:clientData/>
  </xdr:oneCellAnchor>
  <xdr:oneCellAnchor>
    <xdr:from>
      <xdr:col>42</xdr:col>
      <xdr:colOff>1247374</xdr:colOff>
      <xdr:row>22</xdr:row>
      <xdr:rowOff>88573</xdr:rowOff>
    </xdr:from>
    <xdr:ext cx="422678" cy="370310"/>
    <xdr:pic>
      <xdr:nvPicPr>
        <xdr:cNvPr id="102" name="Imagen 101">
          <a:extLst>
            <a:ext uri="{FF2B5EF4-FFF2-40B4-BE49-F238E27FC236}">
              <a16:creationId xmlns:a16="http://schemas.microsoft.com/office/drawing/2014/main" id="{C37A81C6-83AE-47A4-B37F-E360409BA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1674" y="4239008"/>
          <a:ext cx="370310" cy="422678"/>
        </a:xfrm>
        <a:prstGeom prst="rect">
          <a:avLst/>
        </a:prstGeom>
      </xdr:spPr>
    </xdr:pic>
    <xdr:clientData/>
  </xdr:oneCellAnchor>
  <xdr:oneCellAnchor>
    <xdr:from>
      <xdr:col>50</xdr:col>
      <xdr:colOff>1279255</xdr:colOff>
      <xdr:row>13</xdr:row>
      <xdr:rowOff>145174</xdr:rowOff>
    </xdr:from>
    <xdr:ext cx="419503" cy="380521"/>
    <xdr:pic>
      <xdr:nvPicPr>
        <xdr:cNvPr id="108" name="Imagen 107">
          <a:extLst>
            <a:ext uri="{FF2B5EF4-FFF2-40B4-BE49-F238E27FC236}">
              <a16:creationId xmlns:a16="http://schemas.microsoft.com/office/drawing/2014/main" id="{EAE021C8-F1D9-4493-B239-7E22DF51B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3687" y="2542979"/>
          <a:ext cx="380521" cy="419503"/>
        </a:xfrm>
        <a:prstGeom prst="rect">
          <a:avLst/>
        </a:prstGeom>
      </xdr:spPr>
    </xdr:pic>
    <xdr:clientData/>
  </xdr:oneCellAnchor>
  <xdr:oneCellAnchor>
    <xdr:from>
      <xdr:col>50</xdr:col>
      <xdr:colOff>1270607</xdr:colOff>
      <xdr:row>16</xdr:row>
      <xdr:rowOff>105870</xdr:rowOff>
    </xdr:from>
    <xdr:ext cx="435378" cy="370310"/>
    <xdr:pic>
      <xdr:nvPicPr>
        <xdr:cNvPr id="109" name="Imagen 108">
          <a:extLst>
            <a:ext uri="{FF2B5EF4-FFF2-40B4-BE49-F238E27FC236}">
              <a16:creationId xmlns:a16="http://schemas.microsoft.com/office/drawing/2014/main" id="{76B0BBE3-BE0F-4391-9758-704B9E883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4907" y="3174190"/>
          <a:ext cx="370310" cy="435378"/>
        </a:xfrm>
        <a:prstGeom prst="rect">
          <a:avLst/>
        </a:prstGeom>
      </xdr:spPr>
    </xdr:pic>
    <xdr:clientData/>
  </xdr:oneCellAnchor>
  <xdr:oneCellAnchor>
    <xdr:from>
      <xdr:col>50</xdr:col>
      <xdr:colOff>1253091</xdr:colOff>
      <xdr:row>19</xdr:row>
      <xdr:rowOff>70725</xdr:rowOff>
    </xdr:from>
    <xdr:ext cx="429028" cy="360785"/>
    <xdr:pic>
      <xdr:nvPicPr>
        <xdr:cNvPr id="110" name="Imagen 109">
          <a:extLst>
            <a:ext uri="{FF2B5EF4-FFF2-40B4-BE49-F238E27FC236}">
              <a16:creationId xmlns:a16="http://schemas.microsoft.com/office/drawing/2014/main" id="{69FDB580-8983-48B1-BB08-EB78D05B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8978" y="3675341"/>
          <a:ext cx="360785" cy="429028"/>
        </a:xfrm>
        <a:prstGeom prst="rect">
          <a:avLst/>
        </a:prstGeom>
      </xdr:spPr>
    </xdr:pic>
    <xdr:clientData/>
  </xdr:oneCellAnchor>
  <xdr:oneCellAnchor>
    <xdr:from>
      <xdr:col>50</xdr:col>
      <xdr:colOff>1247374</xdr:colOff>
      <xdr:row>22</xdr:row>
      <xdr:rowOff>88573</xdr:rowOff>
    </xdr:from>
    <xdr:ext cx="419503" cy="370310"/>
    <xdr:pic>
      <xdr:nvPicPr>
        <xdr:cNvPr id="111" name="Imagen 110">
          <a:extLst>
            <a:ext uri="{FF2B5EF4-FFF2-40B4-BE49-F238E27FC236}">
              <a16:creationId xmlns:a16="http://schemas.microsoft.com/office/drawing/2014/main" id="{1A8E6F07-D182-40E5-B973-D37016DAD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0087" y="4240595"/>
          <a:ext cx="370310" cy="419503"/>
        </a:xfrm>
        <a:prstGeom prst="rect">
          <a:avLst/>
        </a:prstGeom>
      </xdr:spPr>
    </xdr:pic>
    <xdr:clientData/>
  </xdr:oneCellAnchor>
  <xdr:oneCellAnchor>
    <xdr:from>
      <xdr:col>53</xdr:col>
      <xdr:colOff>87773</xdr:colOff>
      <xdr:row>13</xdr:row>
      <xdr:rowOff>58519</xdr:rowOff>
    </xdr:from>
    <xdr:ext cx="409595" cy="399074"/>
    <xdr:pic>
      <xdr:nvPicPr>
        <xdr:cNvPr id="76" name="Imagen 75">
          <a:extLst>
            <a:ext uri="{FF2B5EF4-FFF2-40B4-BE49-F238E27FC236}">
              <a16:creationId xmlns:a16="http://schemas.microsoft.com/office/drawing/2014/main" id="{472E551B-47FF-4019-944A-FFCE345FE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51207359" y="2418633"/>
          <a:ext cx="399074" cy="409595"/>
        </a:xfrm>
        <a:prstGeom prst="rect">
          <a:avLst/>
        </a:prstGeom>
      </xdr:spPr>
    </xdr:pic>
    <xdr:clientData/>
  </xdr:oneCellAnchor>
  <xdr:oneCellAnchor>
    <xdr:from>
      <xdr:col>53</xdr:col>
      <xdr:colOff>104305</xdr:colOff>
      <xdr:row>16</xdr:row>
      <xdr:rowOff>143916</xdr:rowOff>
    </xdr:from>
    <xdr:ext cx="406420" cy="389546"/>
    <xdr:pic>
      <xdr:nvPicPr>
        <xdr:cNvPr id="77" name="Imagen 76">
          <a:extLst>
            <a:ext uri="{FF2B5EF4-FFF2-40B4-BE49-F238E27FC236}">
              <a16:creationId xmlns:a16="http://schemas.microsoft.com/office/drawing/2014/main" id="{DD7CBCA8-1803-4473-B6AE-AC74A7C26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51233417" y="3164429"/>
          <a:ext cx="389546" cy="406420"/>
        </a:xfrm>
        <a:prstGeom prst="rect">
          <a:avLst/>
        </a:prstGeom>
      </xdr:spPr>
    </xdr:pic>
    <xdr:clientData/>
  </xdr:oneCellAnchor>
  <xdr:oneCellAnchor>
    <xdr:from>
      <xdr:col>53</xdr:col>
      <xdr:colOff>85397</xdr:colOff>
      <xdr:row>19</xdr:row>
      <xdr:rowOff>151086</xdr:rowOff>
    </xdr:from>
    <xdr:ext cx="396895" cy="393781"/>
    <xdr:pic>
      <xdr:nvPicPr>
        <xdr:cNvPr id="78" name="Imagen 77">
          <a:extLst>
            <a:ext uri="{FF2B5EF4-FFF2-40B4-BE49-F238E27FC236}">
              <a16:creationId xmlns:a16="http://schemas.microsoft.com/office/drawing/2014/main" id="{CAEBD69E-3E06-4F03-B10F-48F56E26F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51207629" y="3705529"/>
          <a:ext cx="393781" cy="396895"/>
        </a:xfrm>
        <a:prstGeom prst="rect">
          <a:avLst/>
        </a:prstGeom>
      </xdr:spPr>
    </xdr:pic>
    <xdr:clientData/>
  </xdr:oneCellAnchor>
  <xdr:oneCellAnchor>
    <xdr:from>
      <xdr:col>53</xdr:col>
      <xdr:colOff>118242</xdr:colOff>
      <xdr:row>22</xdr:row>
      <xdr:rowOff>137949</xdr:rowOff>
    </xdr:from>
    <xdr:ext cx="403245" cy="389547"/>
    <xdr:pic>
      <xdr:nvPicPr>
        <xdr:cNvPr id="79" name="Imagen 78">
          <a:extLst>
            <a:ext uri="{FF2B5EF4-FFF2-40B4-BE49-F238E27FC236}">
              <a16:creationId xmlns:a16="http://schemas.microsoft.com/office/drawing/2014/main" id="{AB53DF2F-6A62-4266-A679-F7D49E5A7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51245766" y="4214150"/>
          <a:ext cx="389547" cy="403245"/>
        </a:xfrm>
        <a:prstGeom prst="rect">
          <a:avLst/>
        </a:prstGeom>
      </xdr:spPr>
    </xdr:pic>
    <xdr:clientData/>
  </xdr:oneCellAnchor>
  <xdr:oneCellAnchor>
    <xdr:from>
      <xdr:col>58</xdr:col>
      <xdr:colOff>1279255</xdr:colOff>
      <xdr:row>13</xdr:row>
      <xdr:rowOff>145174</xdr:rowOff>
    </xdr:from>
    <xdr:ext cx="423425" cy="381082"/>
    <xdr:pic>
      <xdr:nvPicPr>
        <xdr:cNvPr id="80" name="Imagen 79">
          <a:extLst>
            <a:ext uri="{FF2B5EF4-FFF2-40B4-BE49-F238E27FC236}">
              <a16:creationId xmlns:a16="http://schemas.microsoft.com/office/drawing/2014/main" id="{767FACD5-A51D-42B5-9A24-DBB253378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609177" y="2486202"/>
          <a:ext cx="381082" cy="423425"/>
        </a:xfrm>
        <a:prstGeom prst="rect">
          <a:avLst/>
        </a:prstGeom>
      </xdr:spPr>
    </xdr:pic>
    <xdr:clientData/>
  </xdr:oneCellAnchor>
  <xdr:oneCellAnchor>
    <xdr:from>
      <xdr:col>58</xdr:col>
      <xdr:colOff>1270607</xdr:colOff>
      <xdr:row>16</xdr:row>
      <xdr:rowOff>105870</xdr:rowOff>
    </xdr:from>
    <xdr:ext cx="439300" cy="373671"/>
    <xdr:pic>
      <xdr:nvPicPr>
        <xdr:cNvPr id="85" name="Imagen 84">
          <a:extLst>
            <a:ext uri="{FF2B5EF4-FFF2-40B4-BE49-F238E27FC236}">
              <a16:creationId xmlns:a16="http://schemas.microsoft.com/office/drawing/2014/main" id="{99FA0D91-049C-4B38-9CC7-AA0194ABD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608996" y="3102006"/>
          <a:ext cx="373671" cy="439300"/>
        </a:xfrm>
        <a:prstGeom prst="rect">
          <a:avLst/>
        </a:prstGeom>
      </xdr:spPr>
    </xdr:pic>
    <xdr:clientData/>
  </xdr:oneCellAnchor>
  <xdr:oneCellAnchor>
    <xdr:from>
      <xdr:col>58</xdr:col>
      <xdr:colOff>1253091</xdr:colOff>
      <xdr:row>19</xdr:row>
      <xdr:rowOff>70725</xdr:rowOff>
    </xdr:from>
    <xdr:ext cx="432950" cy="360972"/>
    <xdr:pic>
      <xdr:nvPicPr>
        <xdr:cNvPr id="86" name="Imagen 85">
          <a:extLst>
            <a:ext uri="{FF2B5EF4-FFF2-40B4-BE49-F238E27FC236}">
              <a16:creationId xmlns:a16="http://schemas.microsoft.com/office/drawing/2014/main" id="{35DED765-90FC-4793-AD95-6BF2429E7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594655" y="3587561"/>
          <a:ext cx="360972" cy="432950"/>
        </a:xfrm>
        <a:prstGeom prst="rect">
          <a:avLst/>
        </a:prstGeom>
      </xdr:spPr>
    </xdr:pic>
    <xdr:clientData/>
  </xdr:oneCellAnchor>
  <xdr:oneCellAnchor>
    <xdr:from>
      <xdr:col>58</xdr:col>
      <xdr:colOff>1247374</xdr:colOff>
      <xdr:row>22</xdr:row>
      <xdr:rowOff>88573</xdr:rowOff>
    </xdr:from>
    <xdr:ext cx="426600" cy="373672"/>
    <xdr:pic>
      <xdr:nvPicPr>
        <xdr:cNvPr id="87" name="Imagen 86">
          <a:extLst>
            <a:ext uri="{FF2B5EF4-FFF2-40B4-BE49-F238E27FC236}">
              <a16:creationId xmlns:a16="http://schemas.microsoft.com/office/drawing/2014/main" id="{EB3F3DD2-FCD2-454E-A728-6424B56F8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585763" y="4138809"/>
          <a:ext cx="373672" cy="426600"/>
        </a:xfrm>
        <a:prstGeom prst="rect">
          <a:avLst/>
        </a:prstGeom>
      </xdr:spPr>
    </xdr:pic>
    <xdr:clientData/>
  </xdr:oneCellAnchor>
  <xdr:oneCellAnchor>
    <xdr:from>
      <xdr:col>58</xdr:col>
      <xdr:colOff>1279255</xdr:colOff>
      <xdr:row>13</xdr:row>
      <xdr:rowOff>145174</xdr:rowOff>
    </xdr:from>
    <xdr:ext cx="419503" cy="380521"/>
    <xdr:pic>
      <xdr:nvPicPr>
        <xdr:cNvPr id="88" name="Imagen 87">
          <a:extLst>
            <a:ext uri="{FF2B5EF4-FFF2-40B4-BE49-F238E27FC236}">
              <a16:creationId xmlns:a16="http://schemas.microsoft.com/office/drawing/2014/main" id="{23BA61AA-403B-409D-918C-49015C8F8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607496" y="2487883"/>
          <a:ext cx="380521" cy="419503"/>
        </a:xfrm>
        <a:prstGeom prst="rect">
          <a:avLst/>
        </a:prstGeom>
      </xdr:spPr>
    </xdr:pic>
    <xdr:clientData/>
  </xdr:oneCellAnchor>
  <xdr:oneCellAnchor>
    <xdr:from>
      <xdr:col>58</xdr:col>
      <xdr:colOff>1270607</xdr:colOff>
      <xdr:row>16</xdr:row>
      <xdr:rowOff>105870</xdr:rowOff>
    </xdr:from>
    <xdr:ext cx="435378" cy="370310"/>
    <xdr:pic>
      <xdr:nvPicPr>
        <xdr:cNvPr id="89" name="Imagen 88">
          <a:extLst>
            <a:ext uri="{FF2B5EF4-FFF2-40B4-BE49-F238E27FC236}">
              <a16:creationId xmlns:a16="http://schemas.microsoft.com/office/drawing/2014/main" id="{8DE4D26F-5932-4BCA-99EE-7B718B1EC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608716" y="3102286"/>
          <a:ext cx="370310" cy="435378"/>
        </a:xfrm>
        <a:prstGeom prst="rect">
          <a:avLst/>
        </a:prstGeom>
      </xdr:spPr>
    </xdr:pic>
    <xdr:clientData/>
  </xdr:oneCellAnchor>
  <xdr:oneCellAnchor>
    <xdr:from>
      <xdr:col>58</xdr:col>
      <xdr:colOff>1253091</xdr:colOff>
      <xdr:row>19</xdr:row>
      <xdr:rowOff>70725</xdr:rowOff>
    </xdr:from>
    <xdr:ext cx="429028" cy="360785"/>
    <xdr:pic>
      <xdr:nvPicPr>
        <xdr:cNvPr id="94" name="Imagen 93">
          <a:extLst>
            <a:ext uri="{FF2B5EF4-FFF2-40B4-BE49-F238E27FC236}">
              <a16:creationId xmlns:a16="http://schemas.microsoft.com/office/drawing/2014/main" id="{052AA941-9615-47CF-BEA8-B5C063E6A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592787" y="3589429"/>
          <a:ext cx="360785" cy="429028"/>
        </a:xfrm>
        <a:prstGeom prst="rect">
          <a:avLst/>
        </a:prstGeom>
      </xdr:spPr>
    </xdr:pic>
    <xdr:clientData/>
  </xdr:oneCellAnchor>
  <xdr:oneCellAnchor>
    <xdr:from>
      <xdr:col>58</xdr:col>
      <xdr:colOff>1247374</xdr:colOff>
      <xdr:row>22</xdr:row>
      <xdr:rowOff>88573</xdr:rowOff>
    </xdr:from>
    <xdr:ext cx="419503" cy="370310"/>
    <xdr:pic>
      <xdr:nvPicPr>
        <xdr:cNvPr id="95" name="Imagen 94">
          <a:extLst>
            <a:ext uri="{FF2B5EF4-FFF2-40B4-BE49-F238E27FC236}">
              <a16:creationId xmlns:a16="http://schemas.microsoft.com/office/drawing/2014/main" id="{4047D089-B56B-4CD8-82FF-5B6F6A195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583896" y="4140676"/>
          <a:ext cx="370310" cy="419503"/>
        </a:xfrm>
        <a:prstGeom prst="rect">
          <a:avLst/>
        </a:prstGeom>
      </xdr:spPr>
    </xdr:pic>
    <xdr:clientData/>
  </xdr:oneCellAnchor>
  <xdr:oneCellAnchor>
    <xdr:from>
      <xdr:col>61</xdr:col>
      <xdr:colOff>87773</xdr:colOff>
      <xdr:row>13</xdr:row>
      <xdr:rowOff>58519</xdr:rowOff>
    </xdr:from>
    <xdr:ext cx="409595" cy="399074"/>
    <xdr:pic>
      <xdr:nvPicPr>
        <xdr:cNvPr id="96" name="Imagen 95">
          <a:extLst>
            <a:ext uri="{FF2B5EF4-FFF2-40B4-BE49-F238E27FC236}">
              <a16:creationId xmlns:a16="http://schemas.microsoft.com/office/drawing/2014/main" id="{5D35439C-397D-4766-80BA-26C5A013B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0621234" y="2418633"/>
          <a:ext cx="399074" cy="409595"/>
        </a:xfrm>
        <a:prstGeom prst="rect">
          <a:avLst/>
        </a:prstGeom>
      </xdr:spPr>
    </xdr:pic>
    <xdr:clientData/>
  </xdr:oneCellAnchor>
  <xdr:oneCellAnchor>
    <xdr:from>
      <xdr:col>61</xdr:col>
      <xdr:colOff>104305</xdr:colOff>
      <xdr:row>16</xdr:row>
      <xdr:rowOff>143916</xdr:rowOff>
    </xdr:from>
    <xdr:ext cx="406420" cy="389546"/>
    <xdr:pic>
      <xdr:nvPicPr>
        <xdr:cNvPr id="97" name="Imagen 96">
          <a:extLst>
            <a:ext uri="{FF2B5EF4-FFF2-40B4-BE49-F238E27FC236}">
              <a16:creationId xmlns:a16="http://schemas.microsoft.com/office/drawing/2014/main" id="{7407621C-3F21-443A-8F17-61741983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0647292" y="3164429"/>
          <a:ext cx="389546" cy="406420"/>
        </a:xfrm>
        <a:prstGeom prst="rect">
          <a:avLst/>
        </a:prstGeom>
      </xdr:spPr>
    </xdr:pic>
    <xdr:clientData/>
  </xdr:oneCellAnchor>
  <xdr:oneCellAnchor>
    <xdr:from>
      <xdr:col>61</xdr:col>
      <xdr:colOff>85397</xdr:colOff>
      <xdr:row>19</xdr:row>
      <xdr:rowOff>151086</xdr:rowOff>
    </xdr:from>
    <xdr:ext cx="396895" cy="393781"/>
    <xdr:pic>
      <xdr:nvPicPr>
        <xdr:cNvPr id="98" name="Imagen 97">
          <a:extLst>
            <a:ext uri="{FF2B5EF4-FFF2-40B4-BE49-F238E27FC236}">
              <a16:creationId xmlns:a16="http://schemas.microsoft.com/office/drawing/2014/main" id="{C587E3F6-403D-4BB9-A816-C26614593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0621504" y="3705529"/>
          <a:ext cx="393781" cy="396895"/>
        </a:xfrm>
        <a:prstGeom prst="rect">
          <a:avLst/>
        </a:prstGeom>
      </xdr:spPr>
    </xdr:pic>
    <xdr:clientData/>
  </xdr:oneCellAnchor>
  <xdr:oneCellAnchor>
    <xdr:from>
      <xdr:col>61</xdr:col>
      <xdr:colOff>118242</xdr:colOff>
      <xdr:row>22</xdr:row>
      <xdr:rowOff>137949</xdr:rowOff>
    </xdr:from>
    <xdr:ext cx="403245" cy="389547"/>
    <xdr:pic>
      <xdr:nvPicPr>
        <xdr:cNvPr id="103" name="Imagen 102">
          <a:extLst>
            <a:ext uri="{FF2B5EF4-FFF2-40B4-BE49-F238E27FC236}">
              <a16:creationId xmlns:a16="http://schemas.microsoft.com/office/drawing/2014/main" id="{98713AAD-20BE-484E-B076-92E085DFC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0659641" y="4214150"/>
          <a:ext cx="389547" cy="403245"/>
        </a:xfrm>
        <a:prstGeom prst="rect">
          <a:avLst/>
        </a:prstGeom>
      </xdr:spPr>
    </xdr:pic>
    <xdr:clientData/>
  </xdr:oneCellAnchor>
  <xdr:oneCellAnchor>
    <xdr:from>
      <xdr:col>66</xdr:col>
      <xdr:colOff>1279255</xdr:colOff>
      <xdr:row>13</xdr:row>
      <xdr:rowOff>145174</xdr:rowOff>
    </xdr:from>
    <xdr:ext cx="423425" cy="381082"/>
    <xdr:pic>
      <xdr:nvPicPr>
        <xdr:cNvPr id="104" name="Imagen 103">
          <a:extLst>
            <a:ext uri="{FF2B5EF4-FFF2-40B4-BE49-F238E27FC236}">
              <a16:creationId xmlns:a16="http://schemas.microsoft.com/office/drawing/2014/main" id="{9DD04263-8108-4496-8AF1-A63A3CD38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8023052" y="2486202"/>
          <a:ext cx="381082" cy="423425"/>
        </a:xfrm>
        <a:prstGeom prst="rect">
          <a:avLst/>
        </a:prstGeom>
      </xdr:spPr>
    </xdr:pic>
    <xdr:clientData/>
  </xdr:oneCellAnchor>
  <xdr:oneCellAnchor>
    <xdr:from>
      <xdr:col>66</xdr:col>
      <xdr:colOff>1270607</xdr:colOff>
      <xdr:row>16</xdr:row>
      <xdr:rowOff>105870</xdr:rowOff>
    </xdr:from>
    <xdr:ext cx="439300" cy="373671"/>
    <xdr:pic>
      <xdr:nvPicPr>
        <xdr:cNvPr id="105" name="Imagen 104">
          <a:extLst>
            <a:ext uri="{FF2B5EF4-FFF2-40B4-BE49-F238E27FC236}">
              <a16:creationId xmlns:a16="http://schemas.microsoft.com/office/drawing/2014/main" id="{264B59DA-B1C9-4A8C-8E0D-B61CE2AA2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8022871" y="3102006"/>
          <a:ext cx="373671" cy="439300"/>
        </a:xfrm>
        <a:prstGeom prst="rect">
          <a:avLst/>
        </a:prstGeom>
      </xdr:spPr>
    </xdr:pic>
    <xdr:clientData/>
  </xdr:oneCellAnchor>
  <xdr:oneCellAnchor>
    <xdr:from>
      <xdr:col>66</xdr:col>
      <xdr:colOff>1253091</xdr:colOff>
      <xdr:row>19</xdr:row>
      <xdr:rowOff>70725</xdr:rowOff>
    </xdr:from>
    <xdr:ext cx="432950" cy="360972"/>
    <xdr:pic>
      <xdr:nvPicPr>
        <xdr:cNvPr id="106" name="Imagen 105">
          <a:extLst>
            <a:ext uri="{FF2B5EF4-FFF2-40B4-BE49-F238E27FC236}">
              <a16:creationId xmlns:a16="http://schemas.microsoft.com/office/drawing/2014/main" id="{E3141D16-55DA-4872-9D49-BB43BD08A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8008530" y="3587561"/>
          <a:ext cx="360972" cy="432950"/>
        </a:xfrm>
        <a:prstGeom prst="rect">
          <a:avLst/>
        </a:prstGeom>
      </xdr:spPr>
    </xdr:pic>
    <xdr:clientData/>
  </xdr:oneCellAnchor>
  <xdr:oneCellAnchor>
    <xdr:from>
      <xdr:col>66</xdr:col>
      <xdr:colOff>1247374</xdr:colOff>
      <xdr:row>22</xdr:row>
      <xdr:rowOff>88573</xdr:rowOff>
    </xdr:from>
    <xdr:ext cx="426600" cy="373672"/>
    <xdr:pic>
      <xdr:nvPicPr>
        <xdr:cNvPr id="107" name="Imagen 106">
          <a:extLst>
            <a:ext uri="{FF2B5EF4-FFF2-40B4-BE49-F238E27FC236}">
              <a16:creationId xmlns:a16="http://schemas.microsoft.com/office/drawing/2014/main" id="{AAF0C81D-4438-476C-878B-D5C027C71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7999638" y="4138809"/>
          <a:ext cx="373672" cy="426600"/>
        </a:xfrm>
        <a:prstGeom prst="rect">
          <a:avLst/>
        </a:prstGeom>
      </xdr:spPr>
    </xdr:pic>
    <xdr:clientData/>
  </xdr:oneCellAnchor>
  <xdr:oneCellAnchor>
    <xdr:from>
      <xdr:col>66</xdr:col>
      <xdr:colOff>1279255</xdr:colOff>
      <xdr:row>13</xdr:row>
      <xdr:rowOff>145174</xdr:rowOff>
    </xdr:from>
    <xdr:ext cx="419503" cy="380521"/>
    <xdr:pic>
      <xdr:nvPicPr>
        <xdr:cNvPr id="112" name="Imagen 111">
          <a:extLst>
            <a:ext uri="{FF2B5EF4-FFF2-40B4-BE49-F238E27FC236}">
              <a16:creationId xmlns:a16="http://schemas.microsoft.com/office/drawing/2014/main" id="{D6FA423C-E4BC-4E80-ADD9-8828F3166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8021371" y="2487883"/>
          <a:ext cx="380521" cy="419503"/>
        </a:xfrm>
        <a:prstGeom prst="rect">
          <a:avLst/>
        </a:prstGeom>
      </xdr:spPr>
    </xdr:pic>
    <xdr:clientData/>
  </xdr:oneCellAnchor>
  <xdr:oneCellAnchor>
    <xdr:from>
      <xdr:col>66</xdr:col>
      <xdr:colOff>1270607</xdr:colOff>
      <xdr:row>16</xdr:row>
      <xdr:rowOff>105870</xdr:rowOff>
    </xdr:from>
    <xdr:ext cx="435378" cy="370310"/>
    <xdr:pic>
      <xdr:nvPicPr>
        <xdr:cNvPr id="113" name="Imagen 112">
          <a:extLst>
            <a:ext uri="{FF2B5EF4-FFF2-40B4-BE49-F238E27FC236}">
              <a16:creationId xmlns:a16="http://schemas.microsoft.com/office/drawing/2014/main" id="{70EE1E8B-3128-4568-A619-C789F27E6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8022591" y="3102286"/>
          <a:ext cx="370310" cy="435378"/>
        </a:xfrm>
        <a:prstGeom prst="rect">
          <a:avLst/>
        </a:prstGeom>
      </xdr:spPr>
    </xdr:pic>
    <xdr:clientData/>
  </xdr:oneCellAnchor>
  <xdr:oneCellAnchor>
    <xdr:from>
      <xdr:col>66</xdr:col>
      <xdr:colOff>1253091</xdr:colOff>
      <xdr:row>19</xdr:row>
      <xdr:rowOff>70725</xdr:rowOff>
    </xdr:from>
    <xdr:ext cx="429028" cy="360785"/>
    <xdr:pic>
      <xdr:nvPicPr>
        <xdr:cNvPr id="114" name="Imagen 113">
          <a:extLst>
            <a:ext uri="{FF2B5EF4-FFF2-40B4-BE49-F238E27FC236}">
              <a16:creationId xmlns:a16="http://schemas.microsoft.com/office/drawing/2014/main" id="{B7F15028-FBB9-41CE-AA1E-05F74929F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8006662" y="3589429"/>
          <a:ext cx="360785" cy="429028"/>
        </a:xfrm>
        <a:prstGeom prst="rect">
          <a:avLst/>
        </a:prstGeom>
      </xdr:spPr>
    </xdr:pic>
    <xdr:clientData/>
  </xdr:oneCellAnchor>
  <xdr:oneCellAnchor>
    <xdr:from>
      <xdr:col>66</xdr:col>
      <xdr:colOff>1247374</xdr:colOff>
      <xdr:row>22</xdr:row>
      <xdr:rowOff>88573</xdr:rowOff>
    </xdr:from>
    <xdr:ext cx="419503" cy="370310"/>
    <xdr:pic>
      <xdr:nvPicPr>
        <xdr:cNvPr id="115" name="Imagen 114">
          <a:extLst>
            <a:ext uri="{FF2B5EF4-FFF2-40B4-BE49-F238E27FC236}">
              <a16:creationId xmlns:a16="http://schemas.microsoft.com/office/drawing/2014/main" id="{B752F4F5-121F-4698-9077-4AE27EE6C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7997771" y="4140676"/>
          <a:ext cx="370310" cy="419503"/>
        </a:xfrm>
        <a:prstGeom prst="rect">
          <a:avLst/>
        </a:prstGeom>
      </xdr:spPr>
    </xdr:pic>
    <xdr:clientData/>
  </xdr:oneCellAnchor>
  <xdr:oneCellAnchor>
    <xdr:from>
      <xdr:col>69</xdr:col>
      <xdr:colOff>87773</xdr:colOff>
      <xdr:row>13</xdr:row>
      <xdr:rowOff>58519</xdr:rowOff>
    </xdr:from>
    <xdr:ext cx="409595" cy="399074"/>
    <xdr:pic>
      <xdr:nvPicPr>
        <xdr:cNvPr id="116" name="Imagen 115">
          <a:extLst>
            <a:ext uri="{FF2B5EF4-FFF2-40B4-BE49-F238E27FC236}">
              <a16:creationId xmlns:a16="http://schemas.microsoft.com/office/drawing/2014/main" id="{022207E5-24C7-48D0-8311-3A4C46742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0035109" y="2418633"/>
          <a:ext cx="399074" cy="409595"/>
        </a:xfrm>
        <a:prstGeom prst="rect">
          <a:avLst/>
        </a:prstGeom>
      </xdr:spPr>
    </xdr:pic>
    <xdr:clientData/>
  </xdr:oneCellAnchor>
  <xdr:oneCellAnchor>
    <xdr:from>
      <xdr:col>69</xdr:col>
      <xdr:colOff>104305</xdr:colOff>
      <xdr:row>16</xdr:row>
      <xdr:rowOff>143916</xdr:rowOff>
    </xdr:from>
    <xdr:ext cx="406420" cy="389546"/>
    <xdr:pic>
      <xdr:nvPicPr>
        <xdr:cNvPr id="117" name="Imagen 116">
          <a:extLst>
            <a:ext uri="{FF2B5EF4-FFF2-40B4-BE49-F238E27FC236}">
              <a16:creationId xmlns:a16="http://schemas.microsoft.com/office/drawing/2014/main" id="{926C9860-7B36-4D38-8BD4-1FEBF3E8D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0061167" y="3164429"/>
          <a:ext cx="389546" cy="406420"/>
        </a:xfrm>
        <a:prstGeom prst="rect">
          <a:avLst/>
        </a:prstGeom>
      </xdr:spPr>
    </xdr:pic>
    <xdr:clientData/>
  </xdr:oneCellAnchor>
  <xdr:oneCellAnchor>
    <xdr:from>
      <xdr:col>69</xdr:col>
      <xdr:colOff>85397</xdr:colOff>
      <xdr:row>19</xdr:row>
      <xdr:rowOff>151086</xdr:rowOff>
    </xdr:from>
    <xdr:ext cx="396895" cy="393781"/>
    <xdr:pic>
      <xdr:nvPicPr>
        <xdr:cNvPr id="118" name="Imagen 117">
          <a:extLst>
            <a:ext uri="{FF2B5EF4-FFF2-40B4-BE49-F238E27FC236}">
              <a16:creationId xmlns:a16="http://schemas.microsoft.com/office/drawing/2014/main" id="{6A186C56-DF1F-4DBA-A950-E5DA345B5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0035379" y="3705529"/>
          <a:ext cx="393781" cy="396895"/>
        </a:xfrm>
        <a:prstGeom prst="rect">
          <a:avLst/>
        </a:prstGeom>
      </xdr:spPr>
    </xdr:pic>
    <xdr:clientData/>
  </xdr:oneCellAnchor>
  <xdr:oneCellAnchor>
    <xdr:from>
      <xdr:col>69</xdr:col>
      <xdr:colOff>118242</xdr:colOff>
      <xdr:row>22</xdr:row>
      <xdr:rowOff>137949</xdr:rowOff>
    </xdr:from>
    <xdr:ext cx="403245" cy="389547"/>
    <xdr:pic>
      <xdr:nvPicPr>
        <xdr:cNvPr id="119" name="Imagen 118">
          <a:extLst>
            <a:ext uri="{FF2B5EF4-FFF2-40B4-BE49-F238E27FC236}">
              <a16:creationId xmlns:a16="http://schemas.microsoft.com/office/drawing/2014/main" id="{18C97259-2372-4CB1-B656-7D8EBC979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0073516" y="4214150"/>
          <a:ext cx="389547" cy="403245"/>
        </a:xfrm>
        <a:prstGeom prst="rect">
          <a:avLst/>
        </a:prstGeom>
      </xdr:spPr>
    </xdr:pic>
    <xdr:clientData/>
  </xdr:oneCellAnchor>
  <xdr:oneCellAnchor>
    <xdr:from>
      <xdr:col>74</xdr:col>
      <xdr:colOff>1279255</xdr:colOff>
      <xdr:row>13</xdr:row>
      <xdr:rowOff>145174</xdr:rowOff>
    </xdr:from>
    <xdr:ext cx="423425" cy="381082"/>
    <xdr:pic>
      <xdr:nvPicPr>
        <xdr:cNvPr id="120" name="Imagen 119">
          <a:extLst>
            <a:ext uri="{FF2B5EF4-FFF2-40B4-BE49-F238E27FC236}">
              <a16:creationId xmlns:a16="http://schemas.microsoft.com/office/drawing/2014/main" id="{1569C7E3-AE3C-409F-97D2-BC654D854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36927" y="2486202"/>
          <a:ext cx="381082" cy="423425"/>
        </a:xfrm>
        <a:prstGeom prst="rect">
          <a:avLst/>
        </a:prstGeom>
      </xdr:spPr>
    </xdr:pic>
    <xdr:clientData/>
  </xdr:oneCellAnchor>
  <xdr:oneCellAnchor>
    <xdr:from>
      <xdr:col>74</xdr:col>
      <xdr:colOff>1270607</xdr:colOff>
      <xdr:row>16</xdr:row>
      <xdr:rowOff>105870</xdr:rowOff>
    </xdr:from>
    <xdr:ext cx="439300" cy="373671"/>
    <xdr:pic>
      <xdr:nvPicPr>
        <xdr:cNvPr id="121" name="Imagen 120">
          <a:extLst>
            <a:ext uri="{FF2B5EF4-FFF2-40B4-BE49-F238E27FC236}">
              <a16:creationId xmlns:a16="http://schemas.microsoft.com/office/drawing/2014/main" id="{0F620B3B-4971-42AC-A181-4C06B388E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36746" y="3102006"/>
          <a:ext cx="373671" cy="439300"/>
        </a:xfrm>
        <a:prstGeom prst="rect">
          <a:avLst/>
        </a:prstGeom>
      </xdr:spPr>
    </xdr:pic>
    <xdr:clientData/>
  </xdr:oneCellAnchor>
  <xdr:oneCellAnchor>
    <xdr:from>
      <xdr:col>74</xdr:col>
      <xdr:colOff>1253091</xdr:colOff>
      <xdr:row>19</xdr:row>
      <xdr:rowOff>70725</xdr:rowOff>
    </xdr:from>
    <xdr:ext cx="432950" cy="360972"/>
    <xdr:pic>
      <xdr:nvPicPr>
        <xdr:cNvPr id="122" name="Imagen 121">
          <a:extLst>
            <a:ext uri="{FF2B5EF4-FFF2-40B4-BE49-F238E27FC236}">
              <a16:creationId xmlns:a16="http://schemas.microsoft.com/office/drawing/2014/main" id="{14178892-0C9E-4CBE-8BA2-B0C764C90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22405" y="3587561"/>
          <a:ext cx="360972" cy="432950"/>
        </a:xfrm>
        <a:prstGeom prst="rect">
          <a:avLst/>
        </a:prstGeom>
      </xdr:spPr>
    </xdr:pic>
    <xdr:clientData/>
  </xdr:oneCellAnchor>
  <xdr:oneCellAnchor>
    <xdr:from>
      <xdr:col>74</xdr:col>
      <xdr:colOff>1247374</xdr:colOff>
      <xdr:row>22</xdr:row>
      <xdr:rowOff>88573</xdr:rowOff>
    </xdr:from>
    <xdr:ext cx="426600" cy="373672"/>
    <xdr:pic>
      <xdr:nvPicPr>
        <xdr:cNvPr id="123" name="Imagen 122">
          <a:extLst>
            <a:ext uri="{FF2B5EF4-FFF2-40B4-BE49-F238E27FC236}">
              <a16:creationId xmlns:a16="http://schemas.microsoft.com/office/drawing/2014/main" id="{7CD6CAD9-D3D0-4DC3-8673-E141F5622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13513" y="4138809"/>
          <a:ext cx="373672" cy="426600"/>
        </a:xfrm>
        <a:prstGeom prst="rect">
          <a:avLst/>
        </a:prstGeom>
      </xdr:spPr>
    </xdr:pic>
    <xdr:clientData/>
  </xdr:oneCellAnchor>
  <xdr:oneCellAnchor>
    <xdr:from>
      <xdr:col>74</xdr:col>
      <xdr:colOff>1279255</xdr:colOff>
      <xdr:row>13</xdr:row>
      <xdr:rowOff>145174</xdr:rowOff>
    </xdr:from>
    <xdr:ext cx="419503" cy="380521"/>
    <xdr:pic>
      <xdr:nvPicPr>
        <xdr:cNvPr id="124" name="Imagen 123">
          <a:extLst>
            <a:ext uri="{FF2B5EF4-FFF2-40B4-BE49-F238E27FC236}">
              <a16:creationId xmlns:a16="http://schemas.microsoft.com/office/drawing/2014/main" id="{6FADCA03-3E9F-40C7-AF0A-B39969C8B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35246" y="2487883"/>
          <a:ext cx="380521" cy="419503"/>
        </a:xfrm>
        <a:prstGeom prst="rect">
          <a:avLst/>
        </a:prstGeom>
      </xdr:spPr>
    </xdr:pic>
    <xdr:clientData/>
  </xdr:oneCellAnchor>
  <xdr:oneCellAnchor>
    <xdr:from>
      <xdr:col>74</xdr:col>
      <xdr:colOff>1270607</xdr:colOff>
      <xdr:row>16</xdr:row>
      <xdr:rowOff>105870</xdr:rowOff>
    </xdr:from>
    <xdr:ext cx="435378" cy="370310"/>
    <xdr:pic>
      <xdr:nvPicPr>
        <xdr:cNvPr id="125" name="Imagen 124">
          <a:extLst>
            <a:ext uri="{FF2B5EF4-FFF2-40B4-BE49-F238E27FC236}">
              <a16:creationId xmlns:a16="http://schemas.microsoft.com/office/drawing/2014/main" id="{80270630-199E-4F69-AA8D-4C3A03FC2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36466" y="3102286"/>
          <a:ext cx="370310" cy="435378"/>
        </a:xfrm>
        <a:prstGeom prst="rect">
          <a:avLst/>
        </a:prstGeom>
      </xdr:spPr>
    </xdr:pic>
    <xdr:clientData/>
  </xdr:oneCellAnchor>
  <xdr:oneCellAnchor>
    <xdr:from>
      <xdr:col>74</xdr:col>
      <xdr:colOff>1253091</xdr:colOff>
      <xdr:row>19</xdr:row>
      <xdr:rowOff>70725</xdr:rowOff>
    </xdr:from>
    <xdr:ext cx="429028" cy="360785"/>
    <xdr:pic>
      <xdr:nvPicPr>
        <xdr:cNvPr id="126" name="Imagen 125">
          <a:extLst>
            <a:ext uri="{FF2B5EF4-FFF2-40B4-BE49-F238E27FC236}">
              <a16:creationId xmlns:a16="http://schemas.microsoft.com/office/drawing/2014/main" id="{43C8F833-3E44-43B9-BDFC-B480827B6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20537" y="3589429"/>
          <a:ext cx="360785" cy="429028"/>
        </a:xfrm>
        <a:prstGeom prst="rect">
          <a:avLst/>
        </a:prstGeom>
      </xdr:spPr>
    </xdr:pic>
    <xdr:clientData/>
  </xdr:oneCellAnchor>
  <xdr:oneCellAnchor>
    <xdr:from>
      <xdr:col>74</xdr:col>
      <xdr:colOff>1247374</xdr:colOff>
      <xdr:row>22</xdr:row>
      <xdr:rowOff>88573</xdr:rowOff>
    </xdr:from>
    <xdr:ext cx="419503" cy="370310"/>
    <xdr:pic>
      <xdr:nvPicPr>
        <xdr:cNvPr id="127" name="Imagen 126">
          <a:extLst>
            <a:ext uri="{FF2B5EF4-FFF2-40B4-BE49-F238E27FC236}">
              <a16:creationId xmlns:a16="http://schemas.microsoft.com/office/drawing/2014/main" id="{0CF54820-656F-4073-AD34-BEF1C1F57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11646" y="4140676"/>
          <a:ext cx="370310" cy="419503"/>
        </a:xfrm>
        <a:prstGeom prst="rect">
          <a:avLst/>
        </a:prstGeom>
      </xdr:spPr>
    </xdr:pic>
    <xdr:clientData/>
  </xdr:oneCellAnchor>
  <xdr:oneCellAnchor>
    <xdr:from>
      <xdr:col>77</xdr:col>
      <xdr:colOff>87773</xdr:colOff>
      <xdr:row>13</xdr:row>
      <xdr:rowOff>58519</xdr:rowOff>
    </xdr:from>
    <xdr:ext cx="409595" cy="399074"/>
    <xdr:pic>
      <xdr:nvPicPr>
        <xdr:cNvPr id="128" name="Imagen 127">
          <a:extLst>
            <a:ext uri="{FF2B5EF4-FFF2-40B4-BE49-F238E27FC236}">
              <a16:creationId xmlns:a16="http://schemas.microsoft.com/office/drawing/2014/main" id="{1CBC40A9-4E62-4DEC-987A-E9406B0D7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9448984" y="2418633"/>
          <a:ext cx="399074" cy="409595"/>
        </a:xfrm>
        <a:prstGeom prst="rect">
          <a:avLst/>
        </a:prstGeom>
      </xdr:spPr>
    </xdr:pic>
    <xdr:clientData/>
  </xdr:oneCellAnchor>
  <xdr:oneCellAnchor>
    <xdr:from>
      <xdr:col>77</xdr:col>
      <xdr:colOff>104305</xdr:colOff>
      <xdr:row>16</xdr:row>
      <xdr:rowOff>143916</xdr:rowOff>
    </xdr:from>
    <xdr:ext cx="406420" cy="389546"/>
    <xdr:pic>
      <xdr:nvPicPr>
        <xdr:cNvPr id="129" name="Imagen 128">
          <a:extLst>
            <a:ext uri="{FF2B5EF4-FFF2-40B4-BE49-F238E27FC236}">
              <a16:creationId xmlns:a16="http://schemas.microsoft.com/office/drawing/2014/main" id="{E3A5D552-CF9D-4BF7-B1AF-090CA41F6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9475042" y="3164429"/>
          <a:ext cx="389546" cy="406420"/>
        </a:xfrm>
        <a:prstGeom prst="rect">
          <a:avLst/>
        </a:prstGeom>
      </xdr:spPr>
    </xdr:pic>
    <xdr:clientData/>
  </xdr:oneCellAnchor>
  <xdr:oneCellAnchor>
    <xdr:from>
      <xdr:col>77</xdr:col>
      <xdr:colOff>85397</xdr:colOff>
      <xdr:row>19</xdr:row>
      <xdr:rowOff>151086</xdr:rowOff>
    </xdr:from>
    <xdr:ext cx="396895" cy="393781"/>
    <xdr:pic>
      <xdr:nvPicPr>
        <xdr:cNvPr id="130" name="Imagen 129">
          <a:extLst>
            <a:ext uri="{FF2B5EF4-FFF2-40B4-BE49-F238E27FC236}">
              <a16:creationId xmlns:a16="http://schemas.microsoft.com/office/drawing/2014/main" id="{7B887AE1-40DF-4FFE-82AC-B60AC34A8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9449254" y="3705529"/>
          <a:ext cx="393781" cy="396895"/>
        </a:xfrm>
        <a:prstGeom prst="rect">
          <a:avLst/>
        </a:prstGeom>
      </xdr:spPr>
    </xdr:pic>
    <xdr:clientData/>
  </xdr:oneCellAnchor>
  <xdr:oneCellAnchor>
    <xdr:from>
      <xdr:col>77</xdr:col>
      <xdr:colOff>118242</xdr:colOff>
      <xdr:row>22</xdr:row>
      <xdr:rowOff>137949</xdr:rowOff>
    </xdr:from>
    <xdr:ext cx="403245" cy="389547"/>
    <xdr:pic>
      <xdr:nvPicPr>
        <xdr:cNvPr id="131" name="Imagen 130">
          <a:extLst>
            <a:ext uri="{FF2B5EF4-FFF2-40B4-BE49-F238E27FC236}">
              <a16:creationId xmlns:a16="http://schemas.microsoft.com/office/drawing/2014/main" id="{B6433C53-76C3-4E73-BE2F-C8AE33B9C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9487391" y="4214150"/>
          <a:ext cx="389547" cy="403245"/>
        </a:xfrm>
        <a:prstGeom prst="rect">
          <a:avLst/>
        </a:prstGeom>
      </xdr:spPr>
    </xdr:pic>
    <xdr:clientData/>
  </xdr:oneCellAnchor>
  <xdr:oneCellAnchor>
    <xdr:from>
      <xdr:col>82</xdr:col>
      <xdr:colOff>1279255</xdr:colOff>
      <xdr:row>13</xdr:row>
      <xdr:rowOff>145174</xdr:rowOff>
    </xdr:from>
    <xdr:ext cx="423425" cy="381082"/>
    <xdr:pic>
      <xdr:nvPicPr>
        <xdr:cNvPr id="132" name="Imagen 131">
          <a:extLst>
            <a:ext uri="{FF2B5EF4-FFF2-40B4-BE49-F238E27FC236}">
              <a16:creationId xmlns:a16="http://schemas.microsoft.com/office/drawing/2014/main" id="{ABA418A4-6692-4C9C-835E-20CF5A537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50802" y="2486202"/>
          <a:ext cx="381082" cy="423425"/>
        </a:xfrm>
        <a:prstGeom prst="rect">
          <a:avLst/>
        </a:prstGeom>
      </xdr:spPr>
    </xdr:pic>
    <xdr:clientData/>
  </xdr:oneCellAnchor>
  <xdr:oneCellAnchor>
    <xdr:from>
      <xdr:col>82</xdr:col>
      <xdr:colOff>1270607</xdr:colOff>
      <xdr:row>16</xdr:row>
      <xdr:rowOff>105870</xdr:rowOff>
    </xdr:from>
    <xdr:ext cx="439300" cy="373671"/>
    <xdr:pic>
      <xdr:nvPicPr>
        <xdr:cNvPr id="133" name="Imagen 132">
          <a:extLst>
            <a:ext uri="{FF2B5EF4-FFF2-40B4-BE49-F238E27FC236}">
              <a16:creationId xmlns:a16="http://schemas.microsoft.com/office/drawing/2014/main" id="{5108E664-6EBE-4FF6-8320-8A70203D5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50621" y="3102006"/>
          <a:ext cx="373671" cy="439300"/>
        </a:xfrm>
        <a:prstGeom prst="rect">
          <a:avLst/>
        </a:prstGeom>
      </xdr:spPr>
    </xdr:pic>
    <xdr:clientData/>
  </xdr:oneCellAnchor>
  <xdr:oneCellAnchor>
    <xdr:from>
      <xdr:col>82</xdr:col>
      <xdr:colOff>1253091</xdr:colOff>
      <xdr:row>19</xdr:row>
      <xdr:rowOff>70725</xdr:rowOff>
    </xdr:from>
    <xdr:ext cx="432950" cy="360972"/>
    <xdr:pic>
      <xdr:nvPicPr>
        <xdr:cNvPr id="134" name="Imagen 133">
          <a:extLst>
            <a:ext uri="{FF2B5EF4-FFF2-40B4-BE49-F238E27FC236}">
              <a16:creationId xmlns:a16="http://schemas.microsoft.com/office/drawing/2014/main" id="{8CC80854-F4C5-45DB-B4D5-A023C9FF2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36280" y="3587561"/>
          <a:ext cx="360972" cy="432950"/>
        </a:xfrm>
        <a:prstGeom prst="rect">
          <a:avLst/>
        </a:prstGeom>
      </xdr:spPr>
    </xdr:pic>
    <xdr:clientData/>
  </xdr:oneCellAnchor>
  <xdr:oneCellAnchor>
    <xdr:from>
      <xdr:col>82</xdr:col>
      <xdr:colOff>1247374</xdr:colOff>
      <xdr:row>22</xdr:row>
      <xdr:rowOff>88573</xdr:rowOff>
    </xdr:from>
    <xdr:ext cx="426600" cy="373672"/>
    <xdr:pic>
      <xdr:nvPicPr>
        <xdr:cNvPr id="135" name="Imagen 134">
          <a:extLst>
            <a:ext uri="{FF2B5EF4-FFF2-40B4-BE49-F238E27FC236}">
              <a16:creationId xmlns:a16="http://schemas.microsoft.com/office/drawing/2014/main" id="{9DB675FA-E085-4693-9E95-2B5326E92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27388" y="4138809"/>
          <a:ext cx="373672" cy="426600"/>
        </a:xfrm>
        <a:prstGeom prst="rect">
          <a:avLst/>
        </a:prstGeom>
      </xdr:spPr>
    </xdr:pic>
    <xdr:clientData/>
  </xdr:oneCellAnchor>
  <xdr:oneCellAnchor>
    <xdr:from>
      <xdr:col>82</xdr:col>
      <xdr:colOff>1279255</xdr:colOff>
      <xdr:row>13</xdr:row>
      <xdr:rowOff>145174</xdr:rowOff>
    </xdr:from>
    <xdr:ext cx="419503" cy="380521"/>
    <xdr:pic>
      <xdr:nvPicPr>
        <xdr:cNvPr id="136" name="Imagen 135">
          <a:extLst>
            <a:ext uri="{FF2B5EF4-FFF2-40B4-BE49-F238E27FC236}">
              <a16:creationId xmlns:a16="http://schemas.microsoft.com/office/drawing/2014/main" id="{2204C0D8-A927-4F16-A12D-61C270D30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49121" y="2487883"/>
          <a:ext cx="380521" cy="419503"/>
        </a:xfrm>
        <a:prstGeom prst="rect">
          <a:avLst/>
        </a:prstGeom>
      </xdr:spPr>
    </xdr:pic>
    <xdr:clientData/>
  </xdr:oneCellAnchor>
  <xdr:oneCellAnchor>
    <xdr:from>
      <xdr:col>82</xdr:col>
      <xdr:colOff>1270607</xdr:colOff>
      <xdr:row>16</xdr:row>
      <xdr:rowOff>105870</xdr:rowOff>
    </xdr:from>
    <xdr:ext cx="435378" cy="370310"/>
    <xdr:pic>
      <xdr:nvPicPr>
        <xdr:cNvPr id="137" name="Imagen 136">
          <a:extLst>
            <a:ext uri="{FF2B5EF4-FFF2-40B4-BE49-F238E27FC236}">
              <a16:creationId xmlns:a16="http://schemas.microsoft.com/office/drawing/2014/main" id="{E620BE6A-0BFC-44C7-88EB-6F8B83107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50341" y="3102286"/>
          <a:ext cx="370310" cy="435378"/>
        </a:xfrm>
        <a:prstGeom prst="rect">
          <a:avLst/>
        </a:prstGeom>
      </xdr:spPr>
    </xdr:pic>
    <xdr:clientData/>
  </xdr:oneCellAnchor>
  <xdr:oneCellAnchor>
    <xdr:from>
      <xdr:col>82</xdr:col>
      <xdr:colOff>1253091</xdr:colOff>
      <xdr:row>19</xdr:row>
      <xdr:rowOff>70725</xdr:rowOff>
    </xdr:from>
    <xdr:ext cx="429028" cy="360785"/>
    <xdr:pic>
      <xdr:nvPicPr>
        <xdr:cNvPr id="138" name="Imagen 137">
          <a:extLst>
            <a:ext uri="{FF2B5EF4-FFF2-40B4-BE49-F238E27FC236}">
              <a16:creationId xmlns:a16="http://schemas.microsoft.com/office/drawing/2014/main" id="{933154C8-EE67-4806-83A2-A0A2282F8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34412" y="3589429"/>
          <a:ext cx="360785" cy="429028"/>
        </a:xfrm>
        <a:prstGeom prst="rect">
          <a:avLst/>
        </a:prstGeom>
      </xdr:spPr>
    </xdr:pic>
    <xdr:clientData/>
  </xdr:oneCellAnchor>
  <xdr:oneCellAnchor>
    <xdr:from>
      <xdr:col>82</xdr:col>
      <xdr:colOff>1247374</xdr:colOff>
      <xdr:row>22</xdr:row>
      <xdr:rowOff>88573</xdr:rowOff>
    </xdr:from>
    <xdr:ext cx="419503" cy="370310"/>
    <xdr:pic>
      <xdr:nvPicPr>
        <xdr:cNvPr id="139" name="Imagen 138">
          <a:extLst>
            <a:ext uri="{FF2B5EF4-FFF2-40B4-BE49-F238E27FC236}">
              <a16:creationId xmlns:a16="http://schemas.microsoft.com/office/drawing/2014/main" id="{247A5D34-11C4-4DEF-A078-AD46F1CAD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25521" y="4140676"/>
          <a:ext cx="370310" cy="41950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126999</xdr:rowOff>
    </xdr:to>
    <xdr:sp macro="" textlink="">
      <xdr:nvSpPr>
        <xdr:cNvPr id="10" name="AutoShape 1" descr="Vista previa de imagen">
          <a:extLst>
            <a:ext uri="{FF2B5EF4-FFF2-40B4-BE49-F238E27FC236}">
              <a16:creationId xmlns:a16="http://schemas.microsoft.com/office/drawing/2014/main" id="{318B371D-BAD0-466A-86BC-142C11565A97}"/>
            </a:ext>
          </a:extLst>
        </xdr:cNvPr>
        <xdr:cNvSpPr>
          <a:spLocks noChangeAspect="1" noChangeArrowheads="1"/>
        </xdr:cNvSpPr>
      </xdr:nvSpPr>
      <xdr:spPr bwMode="auto">
        <a:xfrm>
          <a:off x="0" y="7305675"/>
          <a:ext cx="304800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247651</xdr:colOff>
      <xdr:row>2</xdr:row>
      <xdr:rowOff>104775</xdr:rowOff>
    </xdr:from>
    <xdr:to>
      <xdr:col>16</xdr:col>
      <xdr:colOff>533401</xdr:colOff>
      <xdr:row>7</xdr:row>
      <xdr:rowOff>47625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2100584-B06A-4982-B72A-C3A0894D81D6}"/>
            </a:ext>
          </a:extLst>
        </xdr:cNvPr>
        <xdr:cNvSpPr/>
      </xdr:nvSpPr>
      <xdr:spPr>
        <a:xfrm>
          <a:off x="13982701" y="638175"/>
          <a:ext cx="4286250" cy="170497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390812</xdr:colOff>
      <xdr:row>3</xdr:row>
      <xdr:rowOff>15874</xdr:rowOff>
    </xdr:from>
    <xdr:to>
      <xdr:col>16</xdr:col>
      <xdr:colOff>473075</xdr:colOff>
      <xdr:row>6</xdr:row>
      <xdr:rowOff>447674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81D44FE-9F57-4FCC-9E76-87AC1AD32FCA}"/>
            </a:ext>
          </a:extLst>
        </xdr:cNvPr>
        <xdr:cNvSpPr txBox="1"/>
      </xdr:nvSpPr>
      <xdr:spPr>
        <a:xfrm>
          <a:off x="14125862" y="730249"/>
          <a:ext cx="4082763" cy="154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aseline="0"/>
            <a:t>Se pueden agregar las contramedidas que se consideren necesarias para atacar cada una de las causas raices identificadas en el analisis de los 5 porques, pueden existir multiples contramedidas para 1 sola causa.</a:t>
          </a:r>
          <a:br>
            <a:rPr lang="es-ES" sz="1200" baseline="0"/>
          </a:br>
          <a:br>
            <a:rPr lang="es-ES" sz="1200" baseline="0"/>
          </a:br>
          <a:r>
            <a:rPr lang="es-ES" sz="1200" baseline="0"/>
            <a:t>Es importante definir las contramedidas de mitigación para contener el problema mientras se implementan las acciones que eliminaran la causa raíz. </a:t>
          </a:r>
          <a:br>
            <a:rPr lang="es-ES" sz="1100" baseline="0"/>
          </a:br>
          <a:br>
            <a:rPr lang="es-ES" sz="1100" baseline="0"/>
          </a:br>
          <a:br>
            <a:rPr lang="es-ES" sz="1100" baseline="0"/>
          </a:br>
          <a:br>
            <a:rPr lang="es-ES" sz="1100" baseline="0"/>
          </a:br>
          <a:endParaRPr lang="es-ES" sz="1100"/>
        </a:p>
      </xdr:txBody>
    </xdr:sp>
    <xdr:clientData/>
  </xdr:twoCellAnchor>
  <xdr:twoCellAnchor>
    <xdr:from>
      <xdr:col>11</xdr:col>
      <xdr:colOff>314325</xdr:colOff>
      <xdr:row>8</xdr:row>
      <xdr:rowOff>221096</xdr:rowOff>
    </xdr:from>
    <xdr:to>
      <xdr:col>16</xdr:col>
      <xdr:colOff>438150</xdr:colOff>
      <xdr:row>15</xdr:row>
      <xdr:rowOff>121228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B2577A3-D4C9-4EBF-A986-1EFCC519C0EF}"/>
            </a:ext>
          </a:extLst>
        </xdr:cNvPr>
        <xdr:cNvSpPr/>
      </xdr:nvSpPr>
      <xdr:spPr>
        <a:xfrm>
          <a:off x="13458825" y="2801505"/>
          <a:ext cx="4107007" cy="287885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484909</xdr:colOff>
      <xdr:row>8</xdr:row>
      <xdr:rowOff>370033</xdr:rowOff>
    </xdr:from>
    <xdr:to>
      <xdr:col>11</xdr:col>
      <xdr:colOff>752476</xdr:colOff>
      <xdr:row>9</xdr:row>
      <xdr:rowOff>207818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7470E8D2-A0D2-46D3-8652-9B958FB231A7}"/>
            </a:ext>
          </a:extLst>
        </xdr:cNvPr>
        <xdr:cNvSpPr/>
      </xdr:nvSpPr>
      <xdr:spPr>
        <a:xfrm>
          <a:off x="13629409" y="2950442"/>
          <a:ext cx="267567" cy="305376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1</a:t>
          </a:r>
        </a:p>
      </xdr:txBody>
    </xdr:sp>
    <xdr:clientData/>
  </xdr:twoCellAnchor>
  <xdr:twoCellAnchor>
    <xdr:from>
      <xdr:col>12</xdr:col>
      <xdr:colOff>53975</xdr:colOff>
      <xdr:row>8</xdr:row>
      <xdr:rowOff>302778</xdr:rowOff>
    </xdr:from>
    <xdr:to>
      <xdr:col>16</xdr:col>
      <xdr:colOff>114300</xdr:colOff>
      <xdr:row>16</xdr:row>
      <xdr:rowOff>8963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7DDB061-30DB-4125-858F-2E431BB11ED5}"/>
            </a:ext>
          </a:extLst>
        </xdr:cNvPr>
        <xdr:cNvSpPr txBox="1"/>
      </xdr:nvSpPr>
      <xdr:spPr>
        <a:xfrm>
          <a:off x="13989050" y="3065028"/>
          <a:ext cx="3260725" cy="1001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Copiar</a:t>
          </a:r>
          <a:r>
            <a:rPr lang="es-ES" sz="1200" b="1" baseline="0"/>
            <a:t> las causas raíz identificadas en el analisis de los 5 porques y pegarlas en la tabla de contramedidas de mitigación y de eliminación de causa raíz</a:t>
          </a:r>
          <a:endParaRPr lang="es-ES" sz="1200" b="1"/>
        </a:p>
      </xdr:txBody>
    </xdr:sp>
    <xdr:clientData/>
  </xdr:twoCellAnchor>
  <xdr:twoCellAnchor>
    <xdr:from>
      <xdr:col>11</xdr:col>
      <xdr:colOff>297613</xdr:colOff>
      <xdr:row>7</xdr:row>
      <xdr:rowOff>295275</xdr:rowOff>
    </xdr:from>
    <xdr:to>
      <xdr:col>16</xdr:col>
      <xdr:colOff>450628</xdr:colOff>
      <xdr:row>8</xdr:row>
      <xdr:rowOff>183862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5760B763-69D6-48F1-80DF-D6960E5B2DEC}"/>
            </a:ext>
          </a:extLst>
        </xdr:cNvPr>
        <xdr:cNvSpPr/>
      </xdr:nvSpPr>
      <xdr:spPr>
        <a:xfrm>
          <a:off x="13432588" y="2590800"/>
          <a:ext cx="4153515" cy="35531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371475</xdr:colOff>
      <xdr:row>7</xdr:row>
      <xdr:rowOff>202046</xdr:rowOff>
    </xdr:from>
    <xdr:to>
      <xdr:col>15</xdr:col>
      <xdr:colOff>380590</xdr:colOff>
      <xdr:row>8</xdr:row>
      <xdr:rowOff>258619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72E72D4-186A-4717-882A-610411DAF319}"/>
            </a:ext>
          </a:extLst>
        </xdr:cNvPr>
        <xdr:cNvSpPr txBox="1"/>
      </xdr:nvSpPr>
      <xdr:spPr>
        <a:xfrm>
          <a:off x="14306550" y="2497571"/>
          <a:ext cx="2409415" cy="5232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600" b="1"/>
            <a:t>PASOS</a:t>
          </a:r>
        </a:p>
      </xdr:txBody>
    </xdr:sp>
    <xdr:clientData/>
  </xdr:twoCellAnchor>
  <xdr:twoCellAnchor>
    <xdr:from>
      <xdr:col>11</xdr:col>
      <xdr:colOff>530945</xdr:colOff>
      <xdr:row>11</xdr:row>
      <xdr:rowOff>45894</xdr:rowOff>
    </xdr:from>
    <xdr:to>
      <xdr:col>12</xdr:col>
      <xdr:colOff>1733</xdr:colOff>
      <xdr:row>11</xdr:row>
      <xdr:rowOff>279111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57053BDE-19C7-4B9D-84A8-AD642DD97EE8}"/>
            </a:ext>
          </a:extLst>
        </xdr:cNvPr>
        <xdr:cNvSpPr/>
      </xdr:nvSpPr>
      <xdr:spPr>
        <a:xfrm>
          <a:off x="13675445" y="4029076"/>
          <a:ext cx="267424" cy="233217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2</a:t>
          </a:r>
        </a:p>
      </xdr:txBody>
    </xdr:sp>
    <xdr:clientData/>
  </xdr:twoCellAnchor>
  <xdr:twoCellAnchor>
    <xdr:from>
      <xdr:col>12</xdr:col>
      <xdr:colOff>105929</xdr:colOff>
      <xdr:row>10</xdr:row>
      <xdr:rowOff>364257</xdr:rowOff>
    </xdr:from>
    <xdr:to>
      <xdr:col>16</xdr:col>
      <xdr:colOff>166254</xdr:colOff>
      <xdr:row>12</xdr:row>
      <xdr:rowOff>229769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34D0517D-CCB6-4E5B-BBA5-AC239CFC728E}"/>
            </a:ext>
          </a:extLst>
        </xdr:cNvPr>
        <xdr:cNvSpPr txBox="1"/>
      </xdr:nvSpPr>
      <xdr:spPr>
        <a:xfrm>
          <a:off x="14047065" y="3879848"/>
          <a:ext cx="3246871" cy="800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Asignarle</a:t>
          </a:r>
          <a:r>
            <a:rPr lang="es-ES" sz="1200" b="1" baseline="0"/>
            <a:t> contramedidas de mitigación a cada una de las causas (en caso de aplicar). Esto debe incluir responsable y una fecha definida</a:t>
          </a:r>
          <a:endParaRPr lang="es-ES" sz="1200" b="1"/>
        </a:p>
      </xdr:txBody>
    </xdr:sp>
    <xdr:clientData/>
  </xdr:twoCellAnchor>
  <xdr:twoCellAnchor>
    <xdr:from>
      <xdr:col>11</xdr:col>
      <xdr:colOff>537584</xdr:colOff>
      <xdr:row>13</xdr:row>
      <xdr:rowOff>45028</xdr:rowOff>
    </xdr:from>
    <xdr:to>
      <xdr:col>11</xdr:col>
      <xdr:colOff>795194</xdr:colOff>
      <xdr:row>13</xdr:row>
      <xdr:rowOff>268720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41C3D4C6-C25B-42E0-A27E-1EE7F68585EB}"/>
            </a:ext>
          </a:extLst>
        </xdr:cNvPr>
        <xdr:cNvSpPr/>
      </xdr:nvSpPr>
      <xdr:spPr>
        <a:xfrm>
          <a:off x="13682084" y="4963392"/>
          <a:ext cx="257610" cy="223692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3</a:t>
          </a:r>
        </a:p>
      </xdr:txBody>
    </xdr:sp>
    <xdr:clientData/>
  </xdr:twoCellAnchor>
  <xdr:twoCellAnchor>
    <xdr:from>
      <xdr:col>12</xdr:col>
      <xdr:colOff>129887</xdr:colOff>
      <xdr:row>12</xdr:row>
      <xdr:rowOff>303643</xdr:rowOff>
    </xdr:from>
    <xdr:to>
      <xdr:col>16</xdr:col>
      <xdr:colOff>183862</xdr:colOff>
      <xdr:row>16</xdr:row>
      <xdr:rowOff>15890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4CCAFE88-2825-4E8D-BE5F-7D6B08DB5217}"/>
            </a:ext>
          </a:extLst>
        </xdr:cNvPr>
        <xdr:cNvSpPr txBox="1"/>
      </xdr:nvSpPr>
      <xdr:spPr>
        <a:xfrm>
          <a:off x="14071023" y="4754416"/>
          <a:ext cx="3240521" cy="9937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Asignarle</a:t>
          </a:r>
          <a:r>
            <a:rPr lang="es-ES" sz="1200" b="1" baseline="0"/>
            <a:t> contramedidas de eliminación a cada una de las causas. Esto debe de incluir responsable y una fecha definida</a:t>
          </a:r>
          <a:endParaRPr lang="es-ES" sz="1200" b="1"/>
        </a:p>
      </xdr:txBody>
    </xdr:sp>
    <xdr:clientData/>
  </xdr:twoCellAnchor>
  <xdr:twoCellAnchor>
    <xdr:from>
      <xdr:col>2</xdr:col>
      <xdr:colOff>19050</xdr:colOff>
      <xdr:row>4</xdr:row>
      <xdr:rowOff>38100</xdr:rowOff>
    </xdr:from>
    <xdr:to>
      <xdr:col>2</xdr:col>
      <xdr:colOff>286474</xdr:colOff>
      <xdr:row>4</xdr:row>
      <xdr:rowOff>274492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E1B7678E-E13D-4FFD-A872-21B48394E5BC}"/>
            </a:ext>
          </a:extLst>
        </xdr:cNvPr>
        <xdr:cNvSpPr/>
      </xdr:nvSpPr>
      <xdr:spPr>
        <a:xfrm>
          <a:off x="857250" y="933450"/>
          <a:ext cx="267424" cy="236392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1</a:t>
          </a:r>
        </a:p>
      </xdr:txBody>
    </xdr:sp>
    <xdr:clientData/>
  </xdr:twoCellAnchor>
  <xdr:twoCellAnchor>
    <xdr:from>
      <xdr:col>2</xdr:col>
      <xdr:colOff>9525</xdr:colOff>
      <xdr:row>19</xdr:row>
      <xdr:rowOff>19050</xdr:rowOff>
    </xdr:from>
    <xdr:to>
      <xdr:col>2</xdr:col>
      <xdr:colOff>276949</xdr:colOff>
      <xdr:row>19</xdr:row>
      <xdr:rowOff>258617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8088E0-586D-4C05-90A0-FF637D2B4B26}"/>
            </a:ext>
          </a:extLst>
        </xdr:cNvPr>
        <xdr:cNvSpPr/>
      </xdr:nvSpPr>
      <xdr:spPr>
        <a:xfrm>
          <a:off x="847725" y="4772025"/>
          <a:ext cx="267424" cy="239567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1</a:t>
          </a:r>
        </a:p>
      </xdr:txBody>
    </xdr:sp>
    <xdr:clientData/>
  </xdr:twoCellAnchor>
  <xdr:twoCellAnchor>
    <xdr:from>
      <xdr:col>3</xdr:col>
      <xdr:colOff>18327</xdr:colOff>
      <xdr:row>4</xdr:row>
      <xdr:rowOff>20783</xdr:rowOff>
    </xdr:from>
    <xdr:to>
      <xdr:col>3</xdr:col>
      <xdr:colOff>285751</xdr:colOff>
      <xdr:row>4</xdr:row>
      <xdr:rowOff>247650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5F1A92E9-F68A-4F4D-BCA7-9AEBD51A71D5}"/>
            </a:ext>
          </a:extLst>
        </xdr:cNvPr>
        <xdr:cNvSpPr/>
      </xdr:nvSpPr>
      <xdr:spPr>
        <a:xfrm>
          <a:off x="4999902" y="916133"/>
          <a:ext cx="267424" cy="226867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2</a:t>
          </a:r>
        </a:p>
      </xdr:txBody>
    </xdr:sp>
    <xdr:clientData/>
  </xdr:twoCellAnchor>
  <xdr:twoCellAnchor>
    <xdr:from>
      <xdr:col>3</xdr:col>
      <xdr:colOff>18327</xdr:colOff>
      <xdr:row>19</xdr:row>
      <xdr:rowOff>20783</xdr:rowOff>
    </xdr:from>
    <xdr:to>
      <xdr:col>3</xdr:col>
      <xdr:colOff>285751</xdr:colOff>
      <xdr:row>19</xdr:row>
      <xdr:rowOff>247650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1D1A73D4-BB26-47D4-BA37-612B7BF7A732}"/>
            </a:ext>
          </a:extLst>
        </xdr:cNvPr>
        <xdr:cNvSpPr/>
      </xdr:nvSpPr>
      <xdr:spPr>
        <a:xfrm>
          <a:off x="4999902" y="4773758"/>
          <a:ext cx="267424" cy="226867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3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F326-46FE-40A7-80D0-E6356071085C}">
  <dimension ref="A4:W50"/>
  <sheetViews>
    <sheetView showGridLines="0" tabSelected="1" topLeftCell="A12" zoomScale="40" zoomScaleNormal="40" workbookViewId="0">
      <selection activeCell="I16" sqref="I16"/>
    </sheetView>
  </sheetViews>
  <sheetFormatPr defaultColWidth="11.42578125" defaultRowHeight="14.45"/>
  <cols>
    <col min="6" max="6" width="17.140625" customWidth="1"/>
    <col min="7" max="7" width="82.42578125" customWidth="1"/>
    <col min="8" max="8" width="23.5703125" customWidth="1"/>
    <col min="9" max="9" width="91.85546875" customWidth="1"/>
    <col min="11" max="11" width="90.5703125" customWidth="1"/>
    <col min="12" max="12" width="30.85546875" customWidth="1"/>
    <col min="13" max="13" width="38.28515625" customWidth="1"/>
  </cols>
  <sheetData>
    <row r="4" spans="1:16" ht="18.600000000000001">
      <c r="I4" s="50" t="s">
        <v>0</v>
      </c>
      <c r="K4" s="25" t="s">
        <v>1</v>
      </c>
    </row>
    <row r="5" spans="1:16" ht="24.95" customHeight="1">
      <c r="A5" s="74"/>
      <c r="B5" s="74"/>
      <c r="C5" s="74"/>
      <c r="D5" s="74"/>
      <c r="E5" s="74"/>
      <c r="I5" s="34"/>
      <c r="K5" s="52" t="s">
        <v>2</v>
      </c>
    </row>
    <row r="6" spans="1:16" ht="24.95" customHeight="1">
      <c r="I6" s="34"/>
      <c r="K6" s="52" t="s">
        <v>3</v>
      </c>
    </row>
    <row r="7" spans="1:16" ht="24.95" customHeight="1">
      <c r="B7" s="26"/>
      <c r="I7" s="34"/>
      <c r="K7" s="52"/>
    </row>
    <row r="8" spans="1:16" ht="24.95" customHeight="1">
      <c r="I8" s="34"/>
      <c r="K8" s="52"/>
    </row>
    <row r="9" spans="1:16" ht="24.95" customHeight="1">
      <c r="B9" s="26"/>
      <c r="I9" s="34"/>
      <c r="K9" s="52"/>
    </row>
    <row r="10" spans="1:16" ht="24.95" customHeight="1">
      <c r="I10" s="34"/>
      <c r="K10" s="52"/>
    </row>
    <row r="11" spans="1:16" ht="24.95" customHeight="1">
      <c r="B11" s="26"/>
      <c r="I11" s="34"/>
      <c r="K11" s="52"/>
    </row>
    <row r="12" spans="1:16" ht="24.95" customHeight="1">
      <c r="B12" s="26"/>
      <c r="I12" s="34"/>
      <c r="K12" s="52"/>
    </row>
    <row r="13" spans="1:16" ht="26.45" customHeight="1">
      <c r="B13" s="26"/>
    </row>
    <row r="14" spans="1:16" ht="27.6" customHeight="1">
      <c r="I14" s="50" t="s">
        <v>4</v>
      </c>
      <c r="K14" s="25" t="s">
        <v>5</v>
      </c>
    </row>
    <row r="15" spans="1:16" s="1" customFormat="1" ht="26.1">
      <c r="B15" s="26"/>
      <c r="I15" s="33"/>
      <c r="K15" s="61"/>
    </row>
    <row r="16" spans="1:16" ht="219" customHeight="1">
      <c r="I16" s="34" t="s">
        <v>6</v>
      </c>
      <c r="J16" s="27"/>
      <c r="K16" s="28" t="s">
        <v>7</v>
      </c>
      <c r="L16" s="27"/>
      <c r="N16" s="27"/>
      <c r="O16" s="27"/>
      <c r="P16" s="27"/>
    </row>
    <row r="17" spans="2:23" s="1" customFormat="1" ht="25.5" customHeight="1">
      <c r="B17" s="75" t="s">
        <v>8</v>
      </c>
      <c r="C17" s="75"/>
      <c r="D17" s="75"/>
      <c r="E17" s="75"/>
      <c r="I17" s="29"/>
      <c r="J17" s="27"/>
      <c r="K17" s="27"/>
      <c r="N17" s="27"/>
      <c r="O17" s="27"/>
      <c r="P17" s="27"/>
    </row>
    <row r="18" spans="2:23" ht="14.65" customHeight="1">
      <c r="B18" s="30"/>
      <c r="I18" s="29"/>
      <c r="J18" s="27"/>
      <c r="K18" s="27"/>
      <c r="N18" s="27"/>
      <c r="O18" s="73"/>
      <c r="P18" s="73"/>
    </row>
    <row r="19" spans="2:23" ht="20.45" customHeight="1">
      <c r="B19" s="76" t="s">
        <v>9</v>
      </c>
      <c r="C19" s="76"/>
      <c r="D19" s="76"/>
      <c r="E19" s="76"/>
      <c r="I19" s="29"/>
      <c r="J19" s="27"/>
      <c r="K19" s="27"/>
      <c r="N19" s="27"/>
      <c r="O19" s="27"/>
      <c r="P19" s="27"/>
    </row>
    <row r="20" spans="2:23" ht="14.45" customHeight="1">
      <c r="B20" s="30"/>
      <c r="I20" s="29"/>
      <c r="J20" s="27"/>
      <c r="K20" s="27"/>
      <c r="N20" s="27"/>
      <c r="O20" s="27"/>
      <c r="P20" s="27"/>
    </row>
    <row r="21" spans="2:23" ht="21.6" customHeight="1">
      <c r="B21" s="77" t="s">
        <v>10</v>
      </c>
      <c r="C21" s="77"/>
      <c r="D21" s="77"/>
      <c r="E21" s="77"/>
      <c r="I21" s="29"/>
      <c r="J21" s="27"/>
      <c r="K21" s="27"/>
      <c r="N21" s="27"/>
      <c r="O21" s="27"/>
      <c r="P21" s="27"/>
    </row>
    <row r="22" spans="2:23" s="1" customFormat="1" ht="14.45" customHeight="1">
      <c r="B22" s="30"/>
      <c r="I22" s="29"/>
      <c r="J22" s="27"/>
      <c r="K22" s="27"/>
      <c r="N22" s="27"/>
      <c r="O22" s="27"/>
      <c r="P22" s="27"/>
    </row>
    <row r="23" spans="2:23" ht="20.100000000000001" customHeight="1">
      <c r="B23" s="78" t="s">
        <v>11</v>
      </c>
      <c r="C23" s="78"/>
      <c r="D23" s="78"/>
      <c r="E23" s="78"/>
      <c r="I23" s="27"/>
      <c r="J23" s="27"/>
      <c r="K23" s="27"/>
      <c r="N23" s="27"/>
      <c r="P23" s="27"/>
    </row>
    <row r="24" spans="2:23" ht="14.45" customHeight="1">
      <c r="B24" s="31"/>
      <c r="I24" s="27"/>
      <c r="J24" s="27"/>
      <c r="K24" s="27"/>
      <c r="N24" s="27"/>
      <c r="O24" s="27"/>
      <c r="P24" s="27"/>
    </row>
    <row r="25" spans="2:23" ht="20.45" customHeight="1">
      <c r="B25" s="79" t="s">
        <v>12</v>
      </c>
      <c r="C25" s="79"/>
      <c r="D25" s="79"/>
      <c r="E25" s="79"/>
      <c r="I25" s="27"/>
      <c r="J25" s="27"/>
      <c r="K25" s="27"/>
      <c r="N25" s="27"/>
      <c r="O25" s="27"/>
      <c r="P25" s="27"/>
    </row>
    <row r="26" spans="2:23" ht="18.95" customHeight="1"/>
    <row r="27" spans="2:23" ht="26.45" customHeight="1">
      <c r="B27" s="80" t="s">
        <v>13</v>
      </c>
      <c r="C27" s="80"/>
      <c r="D27" s="80"/>
      <c r="E27" s="80"/>
      <c r="I27" s="81" t="s">
        <v>14</v>
      </c>
      <c r="J27" s="81"/>
      <c r="K27" s="81"/>
    </row>
    <row r="28" spans="2:23" ht="27.6" customHeight="1">
      <c r="I28" s="82"/>
      <c r="J28" s="82"/>
      <c r="K28" s="82"/>
    </row>
    <row r="29" spans="2:23">
      <c r="I29" s="83"/>
      <c r="J29" s="84"/>
      <c r="K29" s="85"/>
    </row>
    <row r="30" spans="2:23">
      <c r="I30" s="86"/>
      <c r="J30" s="87"/>
      <c r="K30" s="88"/>
      <c r="P30" s="73"/>
      <c r="Q30" s="73"/>
      <c r="R30" s="73"/>
      <c r="S30" s="73"/>
      <c r="T30" s="73"/>
      <c r="U30" s="73"/>
      <c r="V30" s="73"/>
      <c r="W30" s="73"/>
    </row>
    <row r="31" spans="2:23">
      <c r="I31" s="86"/>
      <c r="J31" s="87"/>
      <c r="K31" s="88"/>
      <c r="P31" s="73"/>
      <c r="Q31" s="73"/>
      <c r="R31" s="73"/>
      <c r="S31" s="73"/>
      <c r="T31" s="73"/>
      <c r="U31" s="73"/>
      <c r="V31" s="73"/>
      <c r="W31" s="73"/>
    </row>
    <row r="32" spans="2:23">
      <c r="I32" s="86"/>
      <c r="J32" s="87"/>
      <c r="K32" s="88"/>
      <c r="P32" s="73"/>
      <c r="Q32" s="73"/>
      <c r="R32" s="73"/>
      <c r="S32" s="73"/>
      <c r="T32" s="73"/>
      <c r="U32" s="73"/>
      <c r="V32" s="73"/>
      <c r="W32" s="73"/>
    </row>
    <row r="33" spans="9:23">
      <c r="I33" s="86"/>
      <c r="J33" s="87"/>
      <c r="K33" s="88"/>
      <c r="P33" s="73"/>
      <c r="Q33" s="73"/>
      <c r="R33" s="73"/>
      <c r="S33" s="73"/>
      <c r="T33" s="73"/>
      <c r="U33" s="73"/>
      <c r="V33" s="73"/>
      <c r="W33" s="73"/>
    </row>
    <row r="34" spans="9:23">
      <c r="I34" s="86"/>
      <c r="J34" s="87"/>
      <c r="K34" s="88"/>
      <c r="P34" s="73"/>
      <c r="Q34" s="73"/>
      <c r="R34" s="73"/>
      <c r="S34" s="73"/>
      <c r="T34" s="73"/>
      <c r="U34" s="73"/>
      <c r="V34" s="73"/>
      <c r="W34" s="73"/>
    </row>
    <row r="35" spans="9:23">
      <c r="I35" s="86"/>
      <c r="J35" s="87"/>
      <c r="K35" s="88"/>
      <c r="P35" s="73"/>
      <c r="Q35" s="73"/>
      <c r="R35" s="73"/>
      <c r="S35" s="73"/>
      <c r="T35" s="73"/>
      <c r="U35" s="73"/>
      <c r="V35" s="73"/>
      <c r="W35" s="73"/>
    </row>
    <row r="36" spans="9:23">
      <c r="I36" s="86"/>
      <c r="J36" s="87"/>
      <c r="K36" s="88"/>
      <c r="P36" s="73"/>
      <c r="Q36" s="73"/>
      <c r="R36" s="73"/>
      <c r="S36" s="73"/>
      <c r="T36" s="73"/>
      <c r="U36" s="73"/>
      <c r="V36" s="73"/>
      <c r="W36" s="73"/>
    </row>
    <row r="37" spans="9:23">
      <c r="I37" s="86"/>
      <c r="J37" s="87"/>
      <c r="K37" s="88"/>
      <c r="P37" s="73"/>
      <c r="Q37" s="73"/>
      <c r="R37" s="73"/>
      <c r="S37" s="73"/>
      <c r="T37" s="73"/>
      <c r="U37" s="73"/>
      <c r="V37" s="73"/>
      <c r="W37" s="73"/>
    </row>
    <row r="38" spans="9:23">
      <c r="I38" s="86"/>
      <c r="J38" s="87"/>
      <c r="K38" s="88"/>
      <c r="P38" s="73"/>
      <c r="Q38" s="73"/>
      <c r="R38" s="73"/>
      <c r="S38" s="73"/>
      <c r="T38" s="73"/>
      <c r="U38" s="73"/>
      <c r="V38" s="73"/>
      <c r="W38" s="73"/>
    </row>
    <row r="39" spans="9:23">
      <c r="I39" s="86"/>
      <c r="J39" s="87"/>
      <c r="K39" s="88"/>
      <c r="P39" s="73"/>
      <c r="Q39" s="73"/>
      <c r="R39" s="73"/>
      <c r="S39" s="73"/>
      <c r="T39" s="73"/>
      <c r="U39" s="73"/>
      <c r="V39" s="73"/>
      <c r="W39" s="73"/>
    </row>
    <row r="40" spans="9:23">
      <c r="I40" s="86"/>
      <c r="J40" s="87"/>
      <c r="K40" s="88"/>
    </row>
    <row r="41" spans="9:23">
      <c r="I41" s="86"/>
      <c r="J41" s="87"/>
      <c r="K41" s="88"/>
    </row>
    <row r="42" spans="9:23">
      <c r="I42" s="86"/>
      <c r="J42" s="87"/>
      <c r="K42" s="88"/>
      <c r="P42" s="32"/>
    </row>
    <row r="43" spans="9:23">
      <c r="I43" s="86"/>
      <c r="J43" s="87"/>
      <c r="K43" s="88"/>
    </row>
    <row r="44" spans="9:23">
      <c r="I44" s="86"/>
      <c r="J44" s="87"/>
      <c r="K44" s="88"/>
    </row>
    <row r="45" spans="9:23">
      <c r="I45" s="86"/>
      <c r="J45" s="87"/>
      <c r="K45" s="88"/>
    </row>
    <row r="46" spans="9:23">
      <c r="I46" s="86"/>
      <c r="J46" s="87"/>
      <c r="K46" s="88"/>
    </row>
    <row r="47" spans="9:23">
      <c r="I47" s="86"/>
      <c r="J47" s="87"/>
      <c r="K47" s="88"/>
    </row>
    <row r="48" spans="9:23">
      <c r="I48" s="86"/>
      <c r="J48" s="87"/>
      <c r="K48" s="88"/>
    </row>
    <row r="49" spans="9:11">
      <c r="I49" s="86"/>
      <c r="J49" s="87"/>
      <c r="K49" s="88"/>
    </row>
    <row r="50" spans="9:11">
      <c r="I50" s="89"/>
      <c r="J50" s="90"/>
      <c r="K50" s="91"/>
    </row>
  </sheetData>
  <mergeCells count="12">
    <mergeCell ref="P30:W39"/>
    <mergeCell ref="A5:E5"/>
    <mergeCell ref="B17:E17"/>
    <mergeCell ref="O18:P18"/>
    <mergeCell ref="B19:E19"/>
    <mergeCell ref="B21:E21"/>
    <mergeCell ref="B23:E23"/>
    <mergeCell ref="B25:E25"/>
    <mergeCell ref="B27:E27"/>
    <mergeCell ref="I27:K27"/>
    <mergeCell ref="I28:K28"/>
    <mergeCell ref="I29:K50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0A29-D21F-448A-A94B-562499562AD0}">
  <dimension ref="B2:R46"/>
  <sheetViews>
    <sheetView showGridLines="0" zoomScale="55" zoomScaleNormal="55" workbookViewId="0">
      <selection activeCell="J13" sqref="J13"/>
    </sheetView>
  </sheetViews>
  <sheetFormatPr defaultColWidth="11.42578125" defaultRowHeight="14.45"/>
  <cols>
    <col min="2" max="2" width="48.7109375" customWidth="1"/>
    <col min="6" max="6" width="46.7109375" customWidth="1"/>
    <col min="10" max="10" width="42" customWidth="1"/>
    <col min="15" max="15" width="53.42578125" customWidth="1"/>
  </cols>
  <sheetData>
    <row r="2" spans="2:11" ht="27.6" customHeight="1">
      <c r="C2" s="71"/>
      <c r="D2" s="71"/>
      <c r="E2" s="71"/>
      <c r="F2" s="71"/>
    </row>
    <row r="3" spans="2:11">
      <c r="C3" s="1"/>
      <c r="G3" s="1"/>
      <c r="K3" s="1"/>
    </row>
    <row r="4" spans="2:11" s="1" customFormat="1"/>
    <row r="5" spans="2:11" ht="17.45" customHeight="1">
      <c r="B5" s="1"/>
      <c r="C5" s="1"/>
      <c r="E5" s="1"/>
      <c r="F5" s="1"/>
      <c r="G5" s="1"/>
      <c r="H5" s="1"/>
      <c r="I5" s="1"/>
    </row>
    <row r="6" spans="2:11" ht="18" customHeight="1">
      <c r="B6" s="1"/>
      <c r="C6" s="1"/>
      <c r="D6" s="1"/>
      <c r="E6" s="1"/>
      <c r="F6" s="1"/>
      <c r="G6" s="1"/>
      <c r="H6" s="1"/>
      <c r="I6" s="1"/>
    </row>
    <row r="7" spans="2:11" ht="14.65" customHeight="1">
      <c r="B7" s="1"/>
      <c r="C7" s="1"/>
      <c r="D7" s="1"/>
      <c r="E7" s="1"/>
      <c r="F7" s="1"/>
      <c r="G7" s="1"/>
      <c r="H7" s="1"/>
      <c r="I7" s="1"/>
    </row>
    <row r="8" spans="2:11" ht="14.65" customHeight="1">
      <c r="B8" s="1"/>
      <c r="C8" s="1"/>
      <c r="D8" s="1"/>
      <c r="E8" s="1"/>
      <c r="F8" s="1"/>
      <c r="G8" s="1"/>
      <c r="H8" s="1"/>
      <c r="I8" s="1"/>
    </row>
    <row r="9" spans="2:11" s="1" customFormat="1" ht="18.75">
      <c r="B9" s="53" t="s">
        <v>15</v>
      </c>
      <c r="F9" s="53" t="s">
        <v>16</v>
      </c>
      <c r="J9" s="53"/>
    </row>
    <row r="10" spans="2:11" ht="18.600000000000001">
      <c r="B10" s="53"/>
      <c r="C10" s="1"/>
      <c r="D10" s="1"/>
      <c r="E10" s="1"/>
      <c r="F10" s="53"/>
      <c r="G10" s="1"/>
      <c r="H10" s="1"/>
      <c r="I10" s="1"/>
      <c r="J10" s="53"/>
    </row>
    <row r="11" spans="2:11" ht="18.75">
      <c r="B11" s="53"/>
      <c r="C11" s="1"/>
      <c r="D11" s="1"/>
      <c r="E11" s="1"/>
      <c r="F11" s="53"/>
      <c r="G11" s="1"/>
      <c r="H11" s="1"/>
      <c r="I11" s="1"/>
      <c r="J11" s="53"/>
    </row>
    <row r="12" spans="2:11" ht="18.600000000000001">
      <c r="B12" s="53"/>
      <c r="C12" s="1"/>
      <c r="D12" s="1"/>
      <c r="E12" s="1"/>
      <c r="F12" s="53"/>
      <c r="G12" s="1"/>
      <c r="H12" s="1"/>
      <c r="I12" s="1"/>
      <c r="J12" s="53"/>
    </row>
    <row r="13" spans="2:11" ht="18.600000000000001">
      <c r="B13" s="53"/>
      <c r="C13" s="1"/>
      <c r="D13" s="1"/>
      <c r="E13" s="1"/>
      <c r="F13" s="53"/>
      <c r="G13" s="1"/>
      <c r="H13" s="1"/>
      <c r="I13" s="1"/>
      <c r="J13" s="53"/>
    </row>
    <row r="14" spans="2:11" s="1" customFormat="1" ht="18.600000000000001">
      <c r="B14" s="53"/>
      <c r="F14" s="53"/>
      <c r="J14" s="53"/>
    </row>
    <row r="15" spans="2:11" ht="18.600000000000001">
      <c r="B15" s="53"/>
      <c r="C15" s="1"/>
      <c r="D15" s="1"/>
      <c r="E15" s="1"/>
      <c r="F15" s="53"/>
      <c r="G15" s="1"/>
      <c r="H15" s="1"/>
      <c r="I15" s="1"/>
      <c r="J15" s="53"/>
    </row>
    <row r="16" spans="2:11" ht="18.600000000000001">
      <c r="B16" s="53"/>
      <c r="C16" s="1"/>
      <c r="D16" s="1"/>
      <c r="E16" s="1"/>
      <c r="F16" s="53"/>
      <c r="G16" s="1"/>
      <c r="H16" s="1"/>
      <c r="I16" s="1"/>
      <c r="J16" s="53"/>
    </row>
    <row r="17" spans="2:18" ht="18.600000000000001">
      <c r="B17" s="53"/>
      <c r="C17" s="1"/>
      <c r="D17" s="1"/>
      <c r="E17" s="1"/>
      <c r="F17" s="53"/>
      <c r="G17" s="1"/>
      <c r="H17" s="1"/>
      <c r="I17" s="1"/>
      <c r="J17" s="53"/>
      <c r="O17" s="72" t="str">
        <f>'PROBLEM STATEMENT'!I16</f>
        <v>Documentar</v>
      </c>
    </row>
    <row r="18" spans="2:18" ht="18.600000000000001">
      <c r="B18" s="53"/>
      <c r="C18" s="1"/>
      <c r="D18" s="1"/>
      <c r="E18" s="1"/>
      <c r="F18" s="53"/>
      <c r="G18" s="1"/>
      <c r="H18" s="1"/>
      <c r="I18" s="1"/>
      <c r="J18" s="53"/>
      <c r="O18" s="72"/>
    </row>
    <row r="19" spans="2:18" s="1" customFormat="1" ht="18.600000000000001">
      <c r="B19" s="53"/>
      <c r="F19" s="53"/>
      <c r="J19" s="53"/>
      <c r="O19" s="72"/>
      <c r="P19"/>
      <c r="Q19"/>
      <c r="R19"/>
    </row>
    <row r="20" spans="2:18" ht="18.600000000000001">
      <c r="B20" s="53"/>
      <c r="C20" s="1"/>
      <c r="D20" s="1"/>
      <c r="E20" s="1"/>
      <c r="F20" s="53"/>
      <c r="G20" s="1"/>
      <c r="H20" s="1"/>
      <c r="I20" s="1"/>
      <c r="J20" s="53"/>
      <c r="O20" s="72"/>
    </row>
    <row r="21" spans="2:18" ht="18.600000000000001">
      <c r="B21" s="53"/>
      <c r="C21" s="1"/>
      <c r="D21" s="1"/>
      <c r="E21" s="1"/>
      <c r="F21" s="53"/>
      <c r="G21" s="1"/>
      <c r="H21" s="1"/>
      <c r="I21" s="1"/>
      <c r="J21" s="53"/>
      <c r="O21" s="72"/>
    </row>
    <row r="22" spans="2:18" ht="18.600000000000001">
      <c r="B22" s="53"/>
      <c r="C22" s="1"/>
      <c r="D22" s="1"/>
      <c r="E22" s="1"/>
      <c r="F22" s="53"/>
      <c r="G22" s="1"/>
      <c r="H22" s="1"/>
      <c r="I22" s="1"/>
      <c r="J22" s="53"/>
      <c r="O22" s="72"/>
    </row>
    <row r="23" spans="2:18" ht="14.45" customHeight="1">
      <c r="B23" s="1"/>
      <c r="C23" s="1"/>
      <c r="D23" s="1"/>
      <c r="E23" s="1"/>
      <c r="F23" s="1"/>
      <c r="G23" s="1"/>
      <c r="H23" s="1"/>
      <c r="I23" s="1"/>
      <c r="O23" s="72"/>
    </row>
    <row r="24" spans="2:18" s="1" customFormat="1" ht="14.45" customHeight="1">
      <c r="O24" s="72"/>
      <c r="P24"/>
      <c r="Q24"/>
      <c r="R24"/>
    </row>
    <row r="25" spans="2:18">
      <c r="C25" s="5"/>
      <c r="D25" s="5"/>
      <c r="E25" s="5"/>
      <c r="F25" s="5"/>
      <c r="O25" s="72"/>
    </row>
    <row r="26" spans="2:18" ht="12.6" customHeight="1">
      <c r="C26" s="5"/>
      <c r="D26" s="5"/>
      <c r="E26" s="5"/>
      <c r="F26" s="5"/>
      <c r="O26" s="72"/>
    </row>
    <row r="27" spans="2:18" ht="18.600000000000001">
      <c r="B27" s="53"/>
      <c r="C27" s="5"/>
      <c r="D27" s="5"/>
      <c r="E27" s="5"/>
      <c r="F27" s="53"/>
      <c r="J27" s="53"/>
      <c r="O27" s="72"/>
    </row>
    <row r="28" spans="2:18" ht="18.600000000000001">
      <c r="B28" s="53"/>
      <c r="C28" s="5"/>
      <c r="D28" s="5"/>
      <c r="E28" s="5"/>
      <c r="F28" s="53"/>
      <c r="J28" s="53"/>
      <c r="O28" s="72"/>
    </row>
    <row r="29" spans="2:18" s="1" customFormat="1" ht="18.600000000000001">
      <c r="B29" s="53"/>
      <c r="F29" s="53"/>
      <c r="J29" s="53"/>
      <c r="O29" s="72"/>
      <c r="P29"/>
      <c r="Q29"/>
      <c r="R29"/>
    </row>
    <row r="30" spans="2:18" ht="18.600000000000001">
      <c r="B30" s="53"/>
      <c r="F30" s="53"/>
      <c r="J30" s="53"/>
      <c r="O30" s="72"/>
    </row>
    <row r="31" spans="2:18" ht="18.600000000000001">
      <c r="B31" s="53"/>
      <c r="F31" s="53"/>
      <c r="J31" s="53"/>
      <c r="O31" s="72"/>
    </row>
    <row r="32" spans="2:18" ht="18.600000000000001">
      <c r="B32" s="53"/>
      <c r="F32" s="53"/>
      <c r="J32" s="53"/>
      <c r="O32" s="72"/>
    </row>
    <row r="33" spans="2:15" ht="18.600000000000001">
      <c r="B33" s="53"/>
      <c r="F33" s="53"/>
      <c r="J33" s="53"/>
    </row>
    <row r="34" spans="2:15" ht="18.600000000000001">
      <c r="B34" s="53"/>
      <c r="F34" s="53"/>
      <c r="J34" s="53"/>
    </row>
    <row r="35" spans="2:15" ht="16.5" customHeight="1">
      <c r="B35" s="53"/>
      <c r="F35" s="53"/>
      <c r="J35" s="53"/>
    </row>
    <row r="36" spans="2:15" ht="23.45">
      <c r="B36" s="53"/>
      <c r="F36" s="53"/>
      <c r="J36" s="53"/>
      <c r="O36" s="35" t="s">
        <v>17</v>
      </c>
    </row>
    <row r="37" spans="2:15" ht="18.75">
      <c r="B37" s="53"/>
      <c r="F37" s="53"/>
      <c r="J37" s="53"/>
      <c r="O37" s="53"/>
    </row>
    <row r="38" spans="2:15" ht="18.75">
      <c r="B38" s="53"/>
      <c r="F38" s="53"/>
      <c r="J38" s="53"/>
      <c r="O38" s="53"/>
    </row>
    <row r="39" spans="2:15" ht="18.600000000000001">
      <c r="B39" s="53"/>
      <c r="F39" s="53"/>
      <c r="J39" s="53"/>
      <c r="O39" s="53"/>
    </row>
    <row r="40" spans="2:15" ht="18.600000000000001">
      <c r="B40" s="53"/>
      <c r="F40" s="53"/>
      <c r="J40" s="53"/>
      <c r="O40" s="53"/>
    </row>
    <row r="41" spans="2:15" ht="18.600000000000001">
      <c r="O41" s="53"/>
    </row>
    <row r="42" spans="2:15" ht="18.600000000000001">
      <c r="O42" s="53"/>
    </row>
    <row r="43" spans="2:15" ht="18.600000000000001">
      <c r="O43" s="53"/>
    </row>
    <row r="44" spans="2:15" ht="18.600000000000001">
      <c r="O44" s="53"/>
    </row>
    <row r="45" spans="2:15" ht="18.600000000000001">
      <c r="O45" s="53"/>
    </row>
    <row r="46" spans="2:15" ht="19.5" customHeight="1">
      <c r="C46" s="1"/>
      <c r="G46" s="1"/>
      <c r="K46" s="1"/>
      <c r="N46" s="10"/>
      <c r="O46" s="53"/>
    </row>
  </sheetData>
  <mergeCells count="2">
    <mergeCell ref="C2:F2"/>
    <mergeCell ref="O17:O3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EBB3-D804-4212-9DD5-4CAC6ADEC04B}">
  <dimension ref="A1:P38"/>
  <sheetViews>
    <sheetView showGridLines="0" zoomScaleNormal="100" workbookViewId="0">
      <selection activeCell="G5" sqref="G5"/>
    </sheetView>
  </sheetViews>
  <sheetFormatPr defaultColWidth="11.42578125" defaultRowHeight="14.45"/>
  <cols>
    <col min="5" max="5" width="2.85546875" customWidth="1"/>
    <col min="6" max="6" width="58.140625" customWidth="1"/>
    <col min="7" max="7" width="11" customWidth="1"/>
    <col min="8" max="8" width="10.5703125" customWidth="1"/>
    <col min="9" max="10" width="11.5703125" customWidth="1"/>
    <col min="11" max="11" width="13" customWidth="1"/>
    <col min="12" max="12" width="3.85546875" customWidth="1"/>
    <col min="13" max="13" width="16.7109375" customWidth="1"/>
    <col min="14" max="14" width="64.28515625" customWidth="1"/>
    <col min="16" max="16" width="20" customWidth="1"/>
  </cols>
  <sheetData>
    <row r="1" spans="1:16" ht="20.45" customHeight="1">
      <c r="G1" s="6"/>
    </row>
    <row r="2" spans="1:16" s="1" customFormat="1" ht="21.6" customHeight="1">
      <c r="A2"/>
      <c r="B2"/>
      <c r="C2"/>
      <c r="E2" s="95" t="s">
        <v>18</v>
      </c>
      <c r="F2" s="96"/>
      <c r="G2" s="96"/>
      <c r="H2" s="96"/>
      <c r="I2" s="96"/>
      <c r="J2" s="96"/>
      <c r="K2" s="96"/>
      <c r="L2" s="96"/>
      <c r="M2" s="7"/>
    </row>
    <row r="3" spans="1:16" s="1" customFormat="1">
      <c r="E3" s="94" t="s">
        <v>19</v>
      </c>
      <c r="F3" s="94"/>
      <c r="G3" s="92" t="s">
        <v>20</v>
      </c>
      <c r="H3" s="92"/>
      <c r="I3" s="92"/>
      <c r="J3" s="92"/>
      <c r="K3" s="93"/>
      <c r="L3" s="67"/>
      <c r="M3" s="7"/>
    </row>
    <row r="4" spans="1:16" ht="26.1" customHeight="1">
      <c r="E4" s="94"/>
      <c r="F4" s="94"/>
      <c r="G4" s="45" t="s">
        <v>21</v>
      </c>
      <c r="H4" s="46" t="s">
        <v>22</v>
      </c>
      <c r="I4" s="47" t="s">
        <v>23</v>
      </c>
      <c r="J4" s="48" t="s">
        <v>24</v>
      </c>
      <c r="K4" s="49" t="s">
        <v>25</v>
      </c>
      <c r="L4" s="48"/>
      <c r="M4" s="8"/>
      <c r="N4" s="51" t="s">
        <v>17</v>
      </c>
    </row>
    <row r="5" spans="1:16" ht="36.6" customHeight="1">
      <c r="E5" s="58">
        <v>1</v>
      </c>
      <c r="F5" s="59">
        <f>'CAUSE - EFFECT'!O37</f>
        <v>0</v>
      </c>
      <c r="G5" s="54"/>
      <c r="H5" s="54"/>
      <c r="I5" s="54"/>
      <c r="J5" s="54"/>
      <c r="K5" s="24">
        <f t="shared" ref="K5:K14" si="0">(G5*0.4)+(H5*0.3)+(I5*0.2)+(J5*0.1)</f>
        <v>0</v>
      </c>
      <c r="L5" s="68" t="b">
        <v>0</v>
      </c>
      <c r="M5" s="8"/>
      <c r="N5" s="70" t="str" cm="1">
        <f t="array" ref="N5">_xlfn._xlws.FILTER(F5,L5,"")</f>
        <v/>
      </c>
      <c r="P5" s="69"/>
    </row>
    <row r="6" spans="1:16" ht="36.6" customHeight="1">
      <c r="E6" s="58">
        <v>2</v>
      </c>
      <c r="F6" s="60">
        <f>'CAUSE - EFFECT'!O38</f>
        <v>0</v>
      </c>
      <c r="G6" s="54"/>
      <c r="H6" s="54"/>
      <c r="I6" s="54"/>
      <c r="J6" s="54"/>
      <c r="K6" s="24">
        <f t="shared" si="0"/>
        <v>0</v>
      </c>
      <c r="L6" s="68" t="b">
        <v>0</v>
      </c>
      <c r="M6" s="8"/>
      <c r="N6" s="70" t="str" cm="1">
        <f t="array" ref="N6">_xlfn._xlws.FILTER(F6,L6,"")</f>
        <v/>
      </c>
      <c r="P6" s="69"/>
    </row>
    <row r="7" spans="1:16" ht="36.6" customHeight="1">
      <c r="E7" s="58">
        <v>3</v>
      </c>
      <c r="F7" s="60">
        <f>'CAUSE - EFFECT'!O39</f>
        <v>0</v>
      </c>
      <c r="G7" s="54"/>
      <c r="H7" s="54"/>
      <c r="I7" s="54"/>
      <c r="J7" s="54"/>
      <c r="K7" s="24">
        <f t="shared" si="0"/>
        <v>0</v>
      </c>
      <c r="L7" s="68" t="b">
        <v>0</v>
      </c>
      <c r="M7" s="13"/>
      <c r="N7" s="70" t="str" cm="1">
        <f t="array" ref="N7">_xlfn._xlws.FILTER(F7,L7,"")</f>
        <v/>
      </c>
      <c r="O7" s="14"/>
    </row>
    <row r="8" spans="1:16" s="1" customFormat="1" ht="36.6" customHeight="1">
      <c r="E8" s="58">
        <v>4</v>
      </c>
      <c r="F8" s="60">
        <f>'CAUSE - EFFECT'!O40</f>
        <v>0</v>
      </c>
      <c r="G8" s="54"/>
      <c r="H8" s="54"/>
      <c r="I8" s="54"/>
      <c r="J8" s="54"/>
      <c r="K8" s="24">
        <f t="shared" si="0"/>
        <v>0</v>
      </c>
      <c r="L8" s="68" t="b">
        <v>0</v>
      </c>
      <c r="M8" s="9"/>
      <c r="N8" s="70" t="str" cm="1">
        <f t="array" ref="N8">_xlfn._xlws.FILTER(F8,L8,"")</f>
        <v/>
      </c>
    </row>
    <row r="9" spans="1:16" ht="36.6" customHeight="1">
      <c r="E9" s="58">
        <v>5</v>
      </c>
      <c r="F9" s="60">
        <f>'CAUSE - EFFECT'!O41</f>
        <v>0</v>
      </c>
      <c r="G9" s="54"/>
      <c r="H9" s="54"/>
      <c r="I9" s="54"/>
      <c r="J9" s="54"/>
      <c r="K9" s="24">
        <f t="shared" si="0"/>
        <v>0</v>
      </c>
      <c r="L9" s="68" t="b">
        <v>0</v>
      </c>
      <c r="M9" s="9"/>
      <c r="N9" s="70" t="str" cm="1">
        <f t="array" ref="N9">_xlfn._xlws.FILTER(F9,L9,"")</f>
        <v/>
      </c>
    </row>
    <row r="10" spans="1:16" ht="36.6" customHeight="1">
      <c r="E10" s="58">
        <v>6</v>
      </c>
      <c r="F10" s="60">
        <f>'CAUSE - EFFECT'!O42</f>
        <v>0</v>
      </c>
      <c r="G10" s="54"/>
      <c r="H10" s="54"/>
      <c r="I10" s="54"/>
      <c r="J10" s="54"/>
      <c r="K10" s="24">
        <f t="shared" si="0"/>
        <v>0</v>
      </c>
      <c r="L10" s="68" t="b">
        <v>0</v>
      </c>
      <c r="M10" s="9"/>
      <c r="N10" s="70" t="str" cm="1">
        <f t="array" ref="N10">_xlfn._xlws.FILTER(F10,L10,"")</f>
        <v/>
      </c>
    </row>
    <row r="11" spans="1:16" ht="36.6" customHeight="1">
      <c r="E11" s="58">
        <v>7</v>
      </c>
      <c r="F11" s="60">
        <f>'CAUSE - EFFECT'!O43</f>
        <v>0</v>
      </c>
      <c r="G11" s="54"/>
      <c r="H11" s="54"/>
      <c r="I11" s="54"/>
      <c r="J11" s="54"/>
      <c r="K11" s="24">
        <f t="shared" si="0"/>
        <v>0</v>
      </c>
      <c r="L11" s="68" t="b">
        <v>0</v>
      </c>
      <c r="M11" s="9"/>
      <c r="N11" s="70" t="str" cm="1">
        <f t="array" ref="N11">_xlfn._xlws.FILTER(F11,L11,"")</f>
        <v/>
      </c>
    </row>
    <row r="12" spans="1:16" ht="36.6" customHeight="1">
      <c r="E12" s="58">
        <v>8</v>
      </c>
      <c r="F12" s="60">
        <f>'CAUSE - EFFECT'!O44</f>
        <v>0</v>
      </c>
      <c r="G12" s="54"/>
      <c r="H12" s="54"/>
      <c r="I12" s="54"/>
      <c r="J12" s="54"/>
      <c r="K12" s="24">
        <f t="shared" si="0"/>
        <v>0</v>
      </c>
      <c r="L12" s="68" t="b">
        <v>0</v>
      </c>
      <c r="M12" s="9"/>
      <c r="N12" s="70" t="str" cm="1">
        <f t="array" ref="N12">_xlfn._xlws.FILTER(F12,L12,"")</f>
        <v/>
      </c>
    </row>
    <row r="13" spans="1:16" ht="36.6" customHeight="1">
      <c r="E13" s="58">
        <v>9</v>
      </c>
      <c r="F13" s="60">
        <f>'CAUSE - EFFECT'!O45</f>
        <v>0</v>
      </c>
      <c r="G13" s="54"/>
      <c r="H13" s="54"/>
      <c r="I13" s="54"/>
      <c r="J13" s="54"/>
      <c r="K13" s="24">
        <f t="shared" si="0"/>
        <v>0</v>
      </c>
      <c r="L13" s="68" t="b">
        <v>0</v>
      </c>
      <c r="M13" s="9"/>
      <c r="N13" s="70" t="str" cm="1">
        <f t="array" ref="N13">_xlfn._xlws.FILTER(F13,L13,"")</f>
        <v/>
      </c>
    </row>
    <row r="14" spans="1:16" ht="36.6" customHeight="1">
      <c r="E14" s="58">
        <v>10</v>
      </c>
      <c r="F14" s="60">
        <f>'CAUSE - EFFECT'!O46</f>
        <v>0</v>
      </c>
      <c r="G14" s="54"/>
      <c r="H14" s="54"/>
      <c r="I14" s="54"/>
      <c r="J14" s="54"/>
      <c r="K14" s="24">
        <f t="shared" si="0"/>
        <v>0</v>
      </c>
      <c r="L14" s="68" t="b">
        <v>0</v>
      </c>
      <c r="M14" s="9"/>
      <c r="N14" s="70" t="str" cm="1">
        <f t="array" ref="N14">_xlfn._xlws.FILTER(F14,L14,"")</f>
        <v/>
      </c>
    </row>
    <row r="15" spans="1:16" ht="15.95">
      <c r="E15" s="9"/>
      <c r="F15" s="9"/>
      <c r="G15" s="9"/>
      <c r="H15" s="9"/>
      <c r="I15" s="9"/>
      <c r="M15" s="9"/>
      <c r="N15" s="10"/>
    </row>
    <row r="16" spans="1:16">
      <c r="E16" s="9"/>
      <c r="F16" s="9"/>
      <c r="G16" s="9"/>
      <c r="H16" s="9"/>
      <c r="I16" s="9"/>
      <c r="M16" s="9"/>
    </row>
    <row r="17" spans="5:13" s="1" customFormat="1">
      <c r="E17" s="9"/>
      <c r="F17" s="9"/>
      <c r="G17" s="9"/>
      <c r="H17" s="9"/>
      <c r="I17" s="9"/>
      <c r="J17"/>
      <c r="K17"/>
      <c r="L17"/>
      <c r="M17" s="9"/>
    </row>
    <row r="18" spans="5:13" ht="14.45" customHeight="1">
      <c r="E18" s="9"/>
      <c r="F18" s="9"/>
      <c r="G18" s="9"/>
      <c r="H18" s="9"/>
      <c r="I18" s="9"/>
      <c r="M18" s="9"/>
    </row>
    <row r="19" spans="5:13" ht="14.45" customHeight="1">
      <c r="E19" s="9"/>
      <c r="F19" s="9"/>
      <c r="G19" s="9"/>
      <c r="H19" s="9"/>
      <c r="I19" s="9"/>
      <c r="M19" s="9"/>
    </row>
    <row r="20" spans="5:13" ht="14.45" customHeight="1">
      <c r="E20" s="9"/>
      <c r="F20" s="9"/>
      <c r="G20" s="9"/>
      <c r="H20" s="9"/>
      <c r="I20" s="9"/>
      <c r="M20" s="9"/>
    </row>
    <row r="21" spans="5:13" ht="14.45" customHeight="1">
      <c r="E21" s="9"/>
      <c r="F21" s="9"/>
      <c r="G21" s="9"/>
      <c r="H21" s="9"/>
      <c r="I21" s="9"/>
      <c r="M21" s="9"/>
    </row>
    <row r="22" spans="5:13" s="1" customFormat="1">
      <c r="E22" s="9"/>
      <c r="F22" s="9"/>
      <c r="G22" s="9"/>
      <c r="H22" s="9"/>
      <c r="I22" s="9"/>
      <c r="J22"/>
      <c r="K22"/>
      <c r="L22"/>
      <c r="M22" s="9"/>
    </row>
    <row r="23" spans="5:13">
      <c r="E23" s="9"/>
      <c r="F23" s="9"/>
      <c r="G23" s="9"/>
      <c r="H23" s="9"/>
      <c r="I23" s="9"/>
      <c r="M23" s="9"/>
    </row>
    <row r="24" spans="5:13">
      <c r="E24" s="9"/>
      <c r="F24" s="9"/>
      <c r="G24" s="9"/>
      <c r="H24" s="9"/>
      <c r="I24" s="9"/>
      <c r="M24" s="9"/>
    </row>
    <row r="25" spans="5:13">
      <c r="E25" s="9"/>
      <c r="F25" s="9"/>
      <c r="G25" s="9"/>
      <c r="H25" s="9"/>
      <c r="I25" s="9"/>
      <c r="M25" s="9"/>
    </row>
    <row r="26" spans="5:13">
      <c r="E26" s="9"/>
      <c r="F26" s="9"/>
      <c r="G26" s="9"/>
      <c r="H26" s="9"/>
      <c r="I26" s="9"/>
      <c r="M26" s="9"/>
    </row>
    <row r="27" spans="5:13" s="1" customFormat="1">
      <c r="J27"/>
      <c r="K27"/>
      <c r="L27"/>
    </row>
    <row r="32" spans="5:13" s="1" customFormat="1">
      <c r="J32"/>
      <c r="K32"/>
      <c r="L32"/>
    </row>
    <row r="38" ht="31.15" customHeight="1"/>
  </sheetData>
  <mergeCells count="3">
    <mergeCell ref="G3:K3"/>
    <mergeCell ref="E3:F4"/>
    <mergeCell ref="E2:L2"/>
  </mergeCells>
  <conditionalFormatting sqref="K5:K14">
    <cfRule type="cellIs" dxfId="3" priority="1" operator="greaterThan">
      <formula>2.5</formula>
    </cfRule>
    <cfRule type="cellIs" dxfId="2" priority="2" operator="equal">
      <formula>2.5</formula>
    </cfRule>
    <cfRule type="cellIs" dxfId="1" priority="3" operator="between">
      <formula>2</formula>
      <formula>2.4</formula>
    </cfRule>
    <cfRule type="cellIs" dxfId="0" priority="4" operator="lessThan">
      <formula>2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DFAFAC-63A2-4400-B96C-99E03B1741FA}">
          <x14:formula1>
            <xm:f>DATOS!$A$1:$A$3</xm:f>
          </x14:formula1>
          <xm:sqref>G5:J14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01F5-9A5C-4F33-9B3B-EE378A9F3513}">
  <sheetPr>
    <pageSetUpPr fitToPage="1"/>
  </sheetPr>
  <dimension ref="D8:CE75"/>
  <sheetViews>
    <sheetView showGridLines="0" topLeftCell="A20" zoomScale="85" zoomScaleNormal="85" workbookViewId="0">
      <selection activeCell="H19" sqref="H19:H20"/>
    </sheetView>
  </sheetViews>
  <sheetFormatPr defaultColWidth="11.42578125" defaultRowHeight="14.45" outlineLevelCol="1"/>
  <cols>
    <col min="8" max="8" width="65.85546875" customWidth="1"/>
    <col min="9" max="10" width="65.85546875" hidden="1" customWidth="1" outlineLevel="1"/>
    <col min="11" max="11" width="23.28515625" customWidth="1" collapsed="1"/>
    <col min="12" max="12" width="12.5703125" customWidth="1"/>
    <col min="16" max="16" width="65.85546875" customWidth="1"/>
    <col min="17" max="18" width="65.85546875" hidden="1" customWidth="1" outlineLevel="1"/>
    <col min="19" max="19" width="23.28515625" customWidth="1" collapsed="1"/>
    <col min="24" max="24" width="65.85546875" customWidth="1"/>
    <col min="25" max="26" width="65.85546875" hidden="1" customWidth="1" outlineLevel="1"/>
    <col min="27" max="27" width="23.28515625" customWidth="1" collapsed="1"/>
    <col min="32" max="32" width="65.85546875" customWidth="1"/>
    <col min="33" max="34" width="65.85546875" hidden="1" customWidth="1" outlineLevel="1"/>
    <col min="35" max="35" width="23.28515625" customWidth="1" collapsed="1"/>
    <col min="40" max="40" width="65.85546875" customWidth="1"/>
    <col min="41" max="42" width="65.85546875" hidden="1" customWidth="1" outlineLevel="1"/>
    <col min="43" max="43" width="23.28515625" customWidth="1" collapsed="1"/>
    <col min="48" max="48" width="65.85546875" customWidth="1"/>
    <col min="49" max="50" width="65.85546875" hidden="1" customWidth="1" outlineLevel="1"/>
    <col min="51" max="51" width="23.28515625" customWidth="1" collapsed="1"/>
    <col min="56" max="56" width="65.85546875" customWidth="1"/>
    <col min="57" max="58" width="65.85546875" hidden="1" customWidth="1" outlineLevel="1"/>
    <col min="59" max="59" width="23.28515625" customWidth="1" collapsed="1"/>
    <col min="64" max="64" width="65.85546875" customWidth="1"/>
    <col min="65" max="66" width="65.85546875" hidden="1" customWidth="1" outlineLevel="1"/>
    <col min="67" max="67" width="23.28515625" customWidth="1" collapsed="1"/>
    <col min="72" max="72" width="65.85546875" customWidth="1"/>
    <col min="73" max="74" width="65.85546875" hidden="1" customWidth="1" outlineLevel="1"/>
    <col min="75" max="75" width="23.28515625" customWidth="1" collapsed="1"/>
    <col min="80" max="80" width="65.85546875" customWidth="1"/>
    <col min="81" max="82" width="65.85546875" hidden="1" customWidth="1" outlineLevel="1"/>
    <col min="83" max="83" width="23.28515625" customWidth="1" collapsed="1"/>
  </cols>
  <sheetData>
    <row r="8" spans="5:83" ht="14.45" customHeight="1"/>
    <row r="9" spans="5:83" s="1" customFormat="1" ht="14.45" customHeight="1">
      <c r="E9" s="96" t="s">
        <v>26</v>
      </c>
      <c r="F9" s="96"/>
      <c r="G9" s="96"/>
      <c r="H9" s="109" t="str">
        <f>'MULTI-VOTING MATRIX'!N5</f>
        <v/>
      </c>
      <c r="I9" s="109"/>
      <c r="J9" s="109"/>
      <c r="K9" s="15"/>
      <c r="M9" s="96" t="s">
        <v>27</v>
      </c>
      <c r="N9" s="96"/>
      <c r="O9" s="96"/>
      <c r="P9" s="109" t="str">
        <f>'MULTI-VOTING MATRIX'!N6</f>
        <v/>
      </c>
      <c r="Q9" s="109"/>
      <c r="R9" s="109"/>
      <c r="S9" s="15"/>
      <c r="U9" s="96" t="s">
        <v>28</v>
      </c>
      <c r="V9" s="96"/>
      <c r="W9" s="96"/>
      <c r="X9" s="109" t="str">
        <f>'MULTI-VOTING MATRIX'!N7</f>
        <v/>
      </c>
      <c r="Y9" s="109"/>
      <c r="Z9" s="109"/>
      <c r="AA9" s="15"/>
      <c r="AC9" s="96" t="s">
        <v>29</v>
      </c>
      <c r="AD9" s="96"/>
      <c r="AE9" s="96"/>
      <c r="AF9" s="109" t="str">
        <f>'MULTI-VOTING MATRIX'!N8</f>
        <v/>
      </c>
      <c r="AG9" s="109"/>
      <c r="AH9" s="109"/>
      <c r="AI9" s="15"/>
      <c r="AK9" s="96" t="s">
        <v>30</v>
      </c>
      <c r="AL9" s="96"/>
      <c r="AM9" s="96"/>
      <c r="AN9" s="109" t="str">
        <f>'MULTI-VOTING MATRIX'!N9</f>
        <v/>
      </c>
      <c r="AO9" s="109"/>
      <c r="AP9" s="109"/>
      <c r="AQ9" s="15"/>
      <c r="AS9" s="96" t="s">
        <v>31</v>
      </c>
      <c r="AT9" s="96"/>
      <c r="AU9" s="96"/>
      <c r="AV9" s="109" t="str">
        <f>'MULTI-VOTING MATRIX'!N14</f>
        <v/>
      </c>
      <c r="AW9" s="109"/>
      <c r="AX9" s="109"/>
      <c r="AY9" s="15"/>
      <c r="BA9" s="96" t="s">
        <v>32</v>
      </c>
      <c r="BB9" s="96"/>
      <c r="BC9" s="96"/>
      <c r="BD9" s="109" t="str">
        <f>'MULTI-VOTING MATRIX'!N11</f>
        <v/>
      </c>
      <c r="BE9" s="109"/>
      <c r="BF9" s="109"/>
      <c r="BG9" s="15"/>
      <c r="BI9" s="96" t="s">
        <v>33</v>
      </c>
      <c r="BJ9" s="96"/>
      <c r="BK9" s="96"/>
      <c r="BL9" s="109" t="str">
        <f>'MULTI-VOTING MATRIX'!N12</f>
        <v/>
      </c>
      <c r="BM9" s="109"/>
      <c r="BN9" s="109"/>
      <c r="BO9" s="15"/>
      <c r="BQ9" s="96" t="s">
        <v>34</v>
      </c>
      <c r="BR9" s="96"/>
      <c r="BS9" s="96"/>
      <c r="BT9" s="109" t="str">
        <f>'MULTI-VOTING MATRIX'!N13</f>
        <v/>
      </c>
      <c r="BU9" s="109"/>
      <c r="BV9" s="109"/>
      <c r="BW9" s="15"/>
      <c r="BY9" s="96" t="s">
        <v>35</v>
      </c>
      <c r="BZ9" s="96"/>
      <c r="CA9" s="96"/>
      <c r="CB9" s="109" t="str">
        <f>'MULTI-VOTING MATRIX'!N14</f>
        <v/>
      </c>
      <c r="CC9" s="109"/>
      <c r="CD9" s="109"/>
      <c r="CE9" s="15"/>
    </row>
    <row r="10" spans="5:83" ht="17.45" customHeight="1">
      <c r="E10" s="96"/>
      <c r="F10" s="96"/>
      <c r="G10" s="96"/>
      <c r="H10" s="109"/>
      <c r="I10" s="109"/>
      <c r="J10" s="109"/>
      <c r="K10" s="15"/>
      <c r="M10" s="96"/>
      <c r="N10" s="96"/>
      <c r="O10" s="96"/>
      <c r="P10" s="109"/>
      <c r="Q10" s="109"/>
      <c r="R10" s="109"/>
      <c r="S10" s="15"/>
      <c r="U10" s="96"/>
      <c r="V10" s="96"/>
      <c r="W10" s="96"/>
      <c r="X10" s="109"/>
      <c r="Y10" s="109"/>
      <c r="Z10" s="109"/>
      <c r="AA10" s="15"/>
      <c r="AC10" s="96"/>
      <c r="AD10" s="96"/>
      <c r="AE10" s="96"/>
      <c r="AF10" s="109"/>
      <c r="AG10" s="109"/>
      <c r="AH10" s="109"/>
      <c r="AI10" s="15"/>
      <c r="AK10" s="96"/>
      <c r="AL10" s="96"/>
      <c r="AM10" s="96"/>
      <c r="AN10" s="109"/>
      <c r="AO10" s="109"/>
      <c r="AP10" s="109"/>
      <c r="AQ10" s="15"/>
      <c r="AS10" s="96"/>
      <c r="AT10" s="96"/>
      <c r="AU10" s="96"/>
      <c r="AV10" s="109"/>
      <c r="AW10" s="109"/>
      <c r="AX10" s="109"/>
      <c r="AY10" s="15"/>
      <c r="BA10" s="96"/>
      <c r="BB10" s="96"/>
      <c r="BC10" s="96"/>
      <c r="BD10" s="109"/>
      <c r="BE10" s="109"/>
      <c r="BF10" s="109"/>
      <c r="BG10" s="15"/>
      <c r="BI10" s="96"/>
      <c r="BJ10" s="96"/>
      <c r="BK10" s="96"/>
      <c r="BL10" s="109"/>
      <c r="BM10" s="109"/>
      <c r="BN10" s="109"/>
      <c r="BO10" s="15"/>
      <c r="BQ10" s="96"/>
      <c r="BR10" s="96"/>
      <c r="BS10" s="96"/>
      <c r="BT10" s="109"/>
      <c r="BU10" s="109"/>
      <c r="BV10" s="109"/>
      <c r="BW10" s="15"/>
      <c r="BY10" s="96"/>
      <c r="BZ10" s="96"/>
      <c r="CA10" s="96"/>
      <c r="CB10" s="109"/>
      <c r="CC10" s="109"/>
      <c r="CD10" s="109"/>
      <c r="CE10" s="15"/>
    </row>
    <row r="11" spans="5:83" ht="18" customHeight="1">
      <c r="E11" s="96"/>
      <c r="F11" s="96"/>
      <c r="G11" s="96"/>
      <c r="H11" s="109"/>
      <c r="I11" s="109"/>
      <c r="J11" s="109"/>
      <c r="K11" s="15"/>
      <c r="M11" s="96"/>
      <c r="N11" s="96"/>
      <c r="O11" s="96"/>
      <c r="P11" s="109"/>
      <c r="Q11" s="109"/>
      <c r="R11" s="109"/>
      <c r="S11" s="15"/>
      <c r="U11" s="96"/>
      <c r="V11" s="96"/>
      <c r="W11" s="96"/>
      <c r="X11" s="109"/>
      <c r="Y11" s="109"/>
      <c r="Z11" s="109"/>
      <c r="AA11" s="15"/>
      <c r="AC11" s="96"/>
      <c r="AD11" s="96"/>
      <c r="AE11" s="96"/>
      <c r="AF11" s="109"/>
      <c r="AG11" s="109"/>
      <c r="AH11" s="109"/>
      <c r="AI11" s="15"/>
      <c r="AK11" s="96"/>
      <c r="AL11" s="96"/>
      <c r="AM11" s="96"/>
      <c r="AN11" s="109"/>
      <c r="AO11" s="109"/>
      <c r="AP11" s="109"/>
      <c r="AQ11" s="15"/>
      <c r="AS11" s="96"/>
      <c r="AT11" s="96"/>
      <c r="AU11" s="96"/>
      <c r="AV11" s="109"/>
      <c r="AW11" s="109"/>
      <c r="AX11" s="109"/>
      <c r="AY11" s="15"/>
      <c r="BA11" s="96"/>
      <c r="BB11" s="96"/>
      <c r="BC11" s="96"/>
      <c r="BD11" s="109"/>
      <c r="BE11" s="109"/>
      <c r="BF11" s="109"/>
      <c r="BG11" s="15"/>
      <c r="BI11" s="96"/>
      <c r="BJ11" s="96"/>
      <c r="BK11" s="96"/>
      <c r="BL11" s="109"/>
      <c r="BM11" s="109"/>
      <c r="BN11" s="109"/>
      <c r="BO11" s="15"/>
      <c r="BQ11" s="96"/>
      <c r="BR11" s="96"/>
      <c r="BS11" s="96"/>
      <c r="BT11" s="109"/>
      <c r="BU11" s="109"/>
      <c r="BV11" s="109"/>
      <c r="BW11" s="15"/>
      <c r="BY11" s="96"/>
      <c r="BZ11" s="96"/>
      <c r="CA11" s="96"/>
      <c r="CB11" s="109"/>
      <c r="CC11" s="109"/>
      <c r="CD11" s="109"/>
      <c r="CE11" s="15"/>
    </row>
    <row r="12" spans="5:83" ht="14.65" customHeight="1">
      <c r="I12" s="4" t="s">
        <v>36</v>
      </c>
      <c r="J12" s="4" t="s">
        <v>37</v>
      </c>
      <c r="Q12" s="4" t="s">
        <v>36</v>
      </c>
      <c r="R12" s="4" t="s">
        <v>37</v>
      </c>
      <c r="Y12" s="4" t="s">
        <v>36</v>
      </c>
      <c r="Z12" s="4" t="s">
        <v>37</v>
      </c>
      <c r="AG12" s="4" t="s">
        <v>36</v>
      </c>
      <c r="AH12" s="4" t="s">
        <v>37</v>
      </c>
      <c r="AO12" s="4" t="s">
        <v>36</v>
      </c>
      <c r="AP12" s="4" t="s">
        <v>37</v>
      </c>
      <c r="AW12" s="4" t="s">
        <v>36</v>
      </c>
      <c r="AX12" s="4" t="s">
        <v>37</v>
      </c>
      <c r="BE12" s="4" t="s">
        <v>36</v>
      </c>
      <c r="BF12" s="4" t="s">
        <v>37</v>
      </c>
      <c r="BM12" s="4" t="s">
        <v>36</v>
      </c>
      <c r="BN12" s="4" t="s">
        <v>37</v>
      </c>
      <c r="BU12" s="4" t="s">
        <v>36</v>
      </c>
      <c r="BV12" s="4" t="s">
        <v>37</v>
      </c>
      <c r="CC12" s="4" t="s">
        <v>36</v>
      </c>
      <c r="CD12" s="4" t="s">
        <v>37</v>
      </c>
    </row>
    <row r="13" spans="5:83" ht="14.65" customHeight="1">
      <c r="E13" s="97">
        <v>1</v>
      </c>
      <c r="F13" s="98" t="s">
        <v>38</v>
      </c>
      <c r="G13" s="99"/>
      <c r="H13" s="102"/>
      <c r="I13" s="102"/>
      <c r="J13" s="102"/>
      <c r="K13" s="104" t="s">
        <v>39</v>
      </c>
      <c r="M13" s="97">
        <v>1</v>
      </c>
      <c r="N13" s="98" t="s">
        <v>38</v>
      </c>
      <c r="O13" s="99"/>
      <c r="P13" s="110"/>
      <c r="Q13" s="110"/>
      <c r="R13" s="110"/>
      <c r="S13" s="104" t="s">
        <v>39</v>
      </c>
      <c r="U13" s="97">
        <v>1</v>
      </c>
      <c r="V13" s="98" t="s">
        <v>38</v>
      </c>
      <c r="W13" s="99"/>
      <c r="X13" s="102"/>
      <c r="Y13" s="102"/>
      <c r="Z13" s="102"/>
      <c r="AA13" s="104" t="s">
        <v>39</v>
      </c>
      <c r="AC13" s="97">
        <v>1</v>
      </c>
      <c r="AD13" s="98" t="s">
        <v>38</v>
      </c>
      <c r="AE13" s="99"/>
      <c r="AF13" s="102"/>
      <c r="AG13" s="102"/>
      <c r="AH13" s="102"/>
      <c r="AI13" s="104" t="s">
        <v>39</v>
      </c>
      <c r="AK13" s="97">
        <v>1</v>
      </c>
      <c r="AL13" s="98" t="s">
        <v>38</v>
      </c>
      <c r="AM13" s="99"/>
      <c r="AN13" s="102"/>
      <c r="AO13" s="102"/>
      <c r="AP13" s="102"/>
      <c r="AQ13" s="104" t="s">
        <v>39</v>
      </c>
      <c r="AS13" s="97">
        <v>1</v>
      </c>
      <c r="AT13" s="98" t="s">
        <v>38</v>
      </c>
      <c r="AU13" s="99"/>
      <c r="AV13" s="102"/>
      <c r="AW13" s="102"/>
      <c r="AX13" s="102"/>
      <c r="AY13" s="104" t="s">
        <v>39</v>
      </c>
      <c r="BA13" s="97">
        <v>1</v>
      </c>
      <c r="BB13" s="98" t="s">
        <v>38</v>
      </c>
      <c r="BC13" s="99"/>
      <c r="BD13" s="102"/>
      <c r="BE13" s="102"/>
      <c r="BF13" s="102"/>
      <c r="BG13" s="104" t="s">
        <v>39</v>
      </c>
      <c r="BI13" s="97">
        <v>1</v>
      </c>
      <c r="BJ13" s="98" t="s">
        <v>38</v>
      </c>
      <c r="BK13" s="99"/>
      <c r="BL13" s="102"/>
      <c r="BM13" s="102"/>
      <c r="BN13" s="102"/>
      <c r="BO13" s="104" t="s">
        <v>39</v>
      </c>
      <c r="BQ13" s="97">
        <v>1</v>
      </c>
      <c r="BR13" s="98" t="s">
        <v>39</v>
      </c>
      <c r="BS13" s="99"/>
      <c r="BT13" s="102"/>
      <c r="BU13" s="102"/>
      <c r="BV13" s="102"/>
      <c r="BW13" s="104" t="s">
        <v>39</v>
      </c>
      <c r="BY13" s="97">
        <v>1</v>
      </c>
      <c r="BZ13" s="98" t="s">
        <v>38</v>
      </c>
      <c r="CA13" s="99"/>
      <c r="CB13" s="102"/>
      <c r="CC13" s="102"/>
      <c r="CD13" s="102"/>
      <c r="CE13" s="104" t="s">
        <v>39</v>
      </c>
    </row>
    <row r="14" spans="5:83" s="1" customFormat="1" ht="25.5" customHeight="1">
      <c r="E14" s="97"/>
      <c r="F14" s="100"/>
      <c r="G14" s="101"/>
      <c r="H14" s="103"/>
      <c r="I14" s="103"/>
      <c r="J14" s="103"/>
      <c r="K14" s="105"/>
      <c r="M14" s="97"/>
      <c r="N14" s="100"/>
      <c r="O14" s="101"/>
      <c r="P14" s="111"/>
      <c r="Q14" s="111"/>
      <c r="R14" s="111"/>
      <c r="S14" s="105"/>
      <c r="U14" s="97"/>
      <c r="V14" s="100"/>
      <c r="W14" s="101"/>
      <c r="X14" s="103"/>
      <c r="Y14" s="103"/>
      <c r="Z14" s="103"/>
      <c r="AA14" s="105"/>
      <c r="AC14" s="97"/>
      <c r="AD14" s="100"/>
      <c r="AE14" s="101"/>
      <c r="AF14" s="103"/>
      <c r="AG14" s="103"/>
      <c r="AH14" s="103"/>
      <c r="AI14" s="105"/>
      <c r="AK14" s="97"/>
      <c r="AL14" s="100"/>
      <c r="AM14" s="101"/>
      <c r="AN14" s="103"/>
      <c r="AO14" s="103"/>
      <c r="AP14" s="103"/>
      <c r="AQ14" s="105"/>
      <c r="AS14" s="97"/>
      <c r="AT14" s="100"/>
      <c r="AU14" s="101"/>
      <c r="AV14" s="103"/>
      <c r="AW14" s="103"/>
      <c r="AX14" s="103"/>
      <c r="AY14" s="105"/>
      <c r="BA14" s="97"/>
      <c r="BB14" s="100"/>
      <c r="BC14" s="101"/>
      <c r="BD14" s="103"/>
      <c r="BE14" s="103"/>
      <c r="BF14" s="103"/>
      <c r="BG14" s="105"/>
      <c r="BI14" s="97"/>
      <c r="BJ14" s="100"/>
      <c r="BK14" s="101"/>
      <c r="BL14" s="103"/>
      <c r="BM14" s="103"/>
      <c r="BN14" s="103"/>
      <c r="BO14" s="105"/>
      <c r="BQ14" s="97"/>
      <c r="BR14" s="100"/>
      <c r="BS14" s="101"/>
      <c r="BT14" s="103"/>
      <c r="BU14" s="103"/>
      <c r="BV14" s="103"/>
      <c r="BW14" s="105"/>
      <c r="BY14" s="97"/>
      <c r="BZ14" s="100"/>
      <c r="CA14" s="101"/>
      <c r="CB14" s="103"/>
      <c r="CC14" s="103"/>
      <c r="CD14" s="103"/>
      <c r="CE14" s="105"/>
    </row>
    <row r="15" spans="5:83" ht="14.65" customHeight="1">
      <c r="H15" s="2"/>
      <c r="I15" s="4" t="s">
        <v>36</v>
      </c>
      <c r="J15" s="4" t="s">
        <v>37</v>
      </c>
      <c r="K15" s="43"/>
      <c r="P15" s="2"/>
      <c r="Q15" s="4" t="s">
        <v>36</v>
      </c>
      <c r="R15" s="4" t="s">
        <v>37</v>
      </c>
      <c r="S15" s="43"/>
      <c r="X15" s="2"/>
      <c r="Y15" s="4" t="s">
        <v>36</v>
      </c>
      <c r="Z15" s="4" t="s">
        <v>37</v>
      </c>
      <c r="AA15" s="43"/>
      <c r="AF15" s="2"/>
      <c r="AG15" s="4" t="s">
        <v>36</v>
      </c>
      <c r="AH15" s="4" t="s">
        <v>37</v>
      </c>
      <c r="AI15" s="43"/>
      <c r="AN15" s="2"/>
      <c r="AO15" s="4" t="s">
        <v>36</v>
      </c>
      <c r="AP15" s="4" t="s">
        <v>37</v>
      </c>
      <c r="AQ15" s="43"/>
      <c r="AV15" s="2"/>
      <c r="AW15" s="4" t="s">
        <v>36</v>
      </c>
      <c r="AX15" s="4" t="s">
        <v>37</v>
      </c>
      <c r="AY15" s="43"/>
      <c r="BD15" s="2"/>
      <c r="BE15" s="4" t="s">
        <v>36</v>
      </c>
      <c r="BF15" s="4" t="s">
        <v>37</v>
      </c>
      <c r="BG15" s="43"/>
      <c r="BL15" s="2"/>
      <c r="BM15" s="4" t="s">
        <v>36</v>
      </c>
      <c r="BN15" s="4" t="s">
        <v>37</v>
      </c>
      <c r="BO15" s="43"/>
      <c r="BT15" s="2"/>
      <c r="BU15" s="4" t="s">
        <v>36</v>
      </c>
      <c r="BV15" s="4" t="s">
        <v>37</v>
      </c>
      <c r="BW15" s="43"/>
      <c r="CB15" s="2"/>
      <c r="CC15" s="4" t="s">
        <v>36</v>
      </c>
      <c r="CD15" s="4" t="s">
        <v>37</v>
      </c>
      <c r="CE15" s="43"/>
    </row>
    <row r="16" spans="5:83">
      <c r="E16" s="97">
        <v>2</v>
      </c>
      <c r="F16" s="98" t="s">
        <v>38</v>
      </c>
      <c r="G16" s="99"/>
      <c r="H16" s="102"/>
      <c r="I16" s="102"/>
      <c r="J16" s="102"/>
      <c r="K16" s="104" t="s">
        <v>39</v>
      </c>
      <c r="M16" s="97">
        <v>2</v>
      </c>
      <c r="N16" s="98" t="s">
        <v>38</v>
      </c>
      <c r="O16" s="99"/>
      <c r="P16" s="110"/>
      <c r="Q16" s="110"/>
      <c r="R16" s="110"/>
      <c r="S16" s="104" t="s">
        <v>39</v>
      </c>
      <c r="U16" s="97">
        <v>2</v>
      </c>
      <c r="V16" s="98" t="s">
        <v>38</v>
      </c>
      <c r="W16" s="99"/>
      <c r="X16" s="102"/>
      <c r="Y16" s="102"/>
      <c r="Z16" s="102"/>
      <c r="AA16" s="104" t="s">
        <v>39</v>
      </c>
      <c r="AC16" s="97">
        <v>2</v>
      </c>
      <c r="AD16" s="98" t="s">
        <v>38</v>
      </c>
      <c r="AE16" s="99"/>
      <c r="AF16" s="102"/>
      <c r="AG16" s="102"/>
      <c r="AH16" s="102"/>
      <c r="AI16" s="104" t="s">
        <v>39</v>
      </c>
      <c r="AK16" s="97">
        <v>2</v>
      </c>
      <c r="AL16" s="98" t="s">
        <v>38</v>
      </c>
      <c r="AM16" s="99"/>
      <c r="AN16" s="102"/>
      <c r="AO16" s="102"/>
      <c r="AP16" s="102"/>
      <c r="AQ16" s="104" t="s">
        <v>39</v>
      </c>
      <c r="AS16" s="97">
        <v>2</v>
      </c>
      <c r="AT16" s="98" t="s">
        <v>38</v>
      </c>
      <c r="AU16" s="99"/>
      <c r="AV16" s="102"/>
      <c r="AW16" s="102"/>
      <c r="AX16" s="102"/>
      <c r="AY16" s="104" t="s">
        <v>39</v>
      </c>
      <c r="BA16" s="97">
        <v>2</v>
      </c>
      <c r="BB16" s="98" t="s">
        <v>38</v>
      </c>
      <c r="BC16" s="99"/>
      <c r="BD16" s="102"/>
      <c r="BE16" s="102"/>
      <c r="BF16" s="102"/>
      <c r="BG16" s="104" t="s">
        <v>39</v>
      </c>
      <c r="BI16" s="97">
        <v>2</v>
      </c>
      <c r="BJ16" s="98" t="s">
        <v>38</v>
      </c>
      <c r="BK16" s="99"/>
      <c r="BL16" s="102"/>
      <c r="BM16" s="102"/>
      <c r="BN16" s="102"/>
      <c r="BO16" s="104" t="s">
        <v>39</v>
      </c>
      <c r="BQ16" s="97">
        <v>2</v>
      </c>
      <c r="BR16" s="98" t="s">
        <v>38</v>
      </c>
      <c r="BS16" s="99"/>
      <c r="BT16" s="102"/>
      <c r="BU16" s="102"/>
      <c r="BV16" s="102"/>
      <c r="BW16" s="104" t="s">
        <v>39</v>
      </c>
      <c r="BY16" s="97">
        <v>2</v>
      </c>
      <c r="BZ16" s="98" t="s">
        <v>38</v>
      </c>
      <c r="CA16" s="99"/>
      <c r="CB16" s="102"/>
      <c r="CC16" s="102"/>
      <c r="CD16" s="102"/>
      <c r="CE16" s="104" t="s">
        <v>39</v>
      </c>
    </row>
    <row r="17" spans="5:83">
      <c r="E17" s="97"/>
      <c r="F17" s="100"/>
      <c r="G17" s="101"/>
      <c r="H17" s="103"/>
      <c r="I17" s="103"/>
      <c r="J17" s="103"/>
      <c r="K17" s="105"/>
      <c r="M17" s="97"/>
      <c r="N17" s="100"/>
      <c r="O17" s="101"/>
      <c r="P17" s="111"/>
      <c r="Q17" s="111"/>
      <c r="R17" s="111"/>
      <c r="S17" s="105"/>
      <c r="U17" s="97"/>
      <c r="V17" s="100"/>
      <c r="W17" s="101"/>
      <c r="X17" s="103"/>
      <c r="Y17" s="103"/>
      <c r="Z17" s="103"/>
      <c r="AA17" s="105"/>
      <c r="AC17" s="97"/>
      <c r="AD17" s="100"/>
      <c r="AE17" s="101"/>
      <c r="AF17" s="103"/>
      <c r="AG17" s="103"/>
      <c r="AH17" s="103"/>
      <c r="AI17" s="105"/>
      <c r="AK17" s="97"/>
      <c r="AL17" s="100"/>
      <c r="AM17" s="101"/>
      <c r="AN17" s="103"/>
      <c r="AO17" s="103"/>
      <c r="AP17" s="103"/>
      <c r="AQ17" s="105"/>
      <c r="AS17" s="97"/>
      <c r="AT17" s="100"/>
      <c r="AU17" s="101"/>
      <c r="AV17" s="103"/>
      <c r="AW17" s="103"/>
      <c r="AX17" s="103"/>
      <c r="AY17" s="105"/>
      <c r="BA17" s="97"/>
      <c r="BB17" s="100"/>
      <c r="BC17" s="101"/>
      <c r="BD17" s="103"/>
      <c r="BE17" s="103"/>
      <c r="BF17" s="103"/>
      <c r="BG17" s="105"/>
      <c r="BI17" s="97"/>
      <c r="BJ17" s="100"/>
      <c r="BK17" s="101"/>
      <c r="BL17" s="103"/>
      <c r="BM17" s="103"/>
      <c r="BN17" s="103"/>
      <c r="BO17" s="105"/>
      <c r="BQ17" s="97"/>
      <c r="BR17" s="100"/>
      <c r="BS17" s="101"/>
      <c r="BT17" s="103"/>
      <c r="BU17" s="103"/>
      <c r="BV17" s="103"/>
      <c r="BW17" s="105"/>
      <c r="BY17" s="97"/>
      <c r="BZ17" s="100"/>
      <c r="CA17" s="101"/>
      <c r="CB17" s="103"/>
      <c r="CC17" s="103"/>
      <c r="CD17" s="103"/>
      <c r="CE17" s="105"/>
    </row>
    <row r="18" spans="5:83">
      <c r="H18" s="2"/>
      <c r="I18" s="4" t="s">
        <v>36</v>
      </c>
      <c r="J18" s="4" t="s">
        <v>37</v>
      </c>
      <c r="K18" s="44"/>
      <c r="P18" s="2"/>
      <c r="Q18" s="4" t="s">
        <v>36</v>
      </c>
      <c r="R18" s="4" t="s">
        <v>37</v>
      </c>
      <c r="S18" s="44"/>
      <c r="X18" s="2"/>
      <c r="Y18" s="4" t="s">
        <v>36</v>
      </c>
      <c r="Z18" s="4" t="s">
        <v>37</v>
      </c>
      <c r="AA18" s="44"/>
      <c r="AF18" s="2"/>
      <c r="AG18" s="4" t="s">
        <v>36</v>
      </c>
      <c r="AH18" s="4" t="s">
        <v>37</v>
      </c>
      <c r="AI18" s="44"/>
      <c r="AN18" s="2"/>
      <c r="AO18" s="4" t="s">
        <v>36</v>
      </c>
      <c r="AP18" s="4" t="s">
        <v>37</v>
      </c>
      <c r="AQ18" s="44"/>
      <c r="AV18" s="2"/>
      <c r="AW18" s="4" t="s">
        <v>36</v>
      </c>
      <c r="AX18" s="4" t="s">
        <v>37</v>
      </c>
      <c r="AY18" s="44"/>
      <c r="BD18" s="2"/>
      <c r="BE18" s="4" t="s">
        <v>36</v>
      </c>
      <c r="BF18" s="4" t="s">
        <v>37</v>
      </c>
      <c r="BG18" s="44"/>
      <c r="BL18" s="2"/>
      <c r="BM18" s="4" t="s">
        <v>36</v>
      </c>
      <c r="BN18" s="4" t="s">
        <v>37</v>
      </c>
      <c r="BO18" s="44"/>
      <c r="BT18" s="2"/>
      <c r="BU18" s="4" t="s">
        <v>36</v>
      </c>
      <c r="BV18" s="4" t="s">
        <v>37</v>
      </c>
      <c r="BW18" s="44"/>
      <c r="CB18" s="2"/>
      <c r="CC18" s="4" t="s">
        <v>36</v>
      </c>
      <c r="CD18" s="4" t="s">
        <v>37</v>
      </c>
      <c r="CE18" s="44"/>
    </row>
    <row r="19" spans="5:83" s="1" customFormat="1">
      <c r="E19" s="97">
        <v>3</v>
      </c>
      <c r="F19" s="98" t="s">
        <v>38</v>
      </c>
      <c r="G19" s="99"/>
      <c r="H19" s="102"/>
      <c r="I19" s="102"/>
      <c r="J19" s="102"/>
      <c r="K19" s="104" t="s">
        <v>39</v>
      </c>
      <c r="M19" s="97">
        <v>3</v>
      </c>
      <c r="N19" s="98" t="s">
        <v>38</v>
      </c>
      <c r="O19" s="99"/>
      <c r="P19" s="110"/>
      <c r="Q19" s="110"/>
      <c r="R19" s="110"/>
      <c r="S19" s="104" t="s">
        <v>39</v>
      </c>
      <c r="U19" s="97">
        <v>3</v>
      </c>
      <c r="V19" s="98" t="s">
        <v>38</v>
      </c>
      <c r="W19" s="99"/>
      <c r="X19" s="102"/>
      <c r="Y19" s="102"/>
      <c r="Z19" s="102"/>
      <c r="AA19" s="104" t="s">
        <v>39</v>
      </c>
      <c r="AC19" s="97">
        <v>3</v>
      </c>
      <c r="AD19" s="98" t="s">
        <v>38</v>
      </c>
      <c r="AE19" s="99"/>
      <c r="AF19" s="102"/>
      <c r="AG19" s="102"/>
      <c r="AH19" s="102"/>
      <c r="AI19" s="104" t="s">
        <v>39</v>
      </c>
      <c r="AK19" s="97">
        <v>3</v>
      </c>
      <c r="AL19" s="98" t="s">
        <v>38</v>
      </c>
      <c r="AM19" s="99"/>
      <c r="AN19" s="102"/>
      <c r="AO19" s="102"/>
      <c r="AP19" s="102"/>
      <c r="AQ19" s="104" t="s">
        <v>39</v>
      </c>
      <c r="AS19" s="97">
        <v>3</v>
      </c>
      <c r="AT19" s="98" t="s">
        <v>38</v>
      </c>
      <c r="AU19" s="99"/>
      <c r="AV19" s="102"/>
      <c r="AW19" s="102"/>
      <c r="AX19" s="102"/>
      <c r="AY19" s="104" t="s">
        <v>39</v>
      </c>
      <c r="BA19" s="97">
        <v>3</v>
      </c>
      <c r="BB19" s="98" t="s">
        <v>38</v>
      </c>
      <c r="BC19" s="99"/>
      <c r="BD19" s="102"/>
      <c r="BE19" s="102"/>
      <c r="BF19" s="102"/>
      <c r="BG19" s="104" t="s">
        <v>39</v>
      </c>
      <c r="BI19" s="97">
        <v>3</v>
      </c>
      <c r="BJ19" s="98" t="s">
        <v>38</v>
      </c>
      <c r="BK19" s="99"/>
      <c r="BL19" s="102"/>
      <c r="BM19" s="102"/>
      <c r="BN19" s="102"/>
      <c r="BO19" s="104" t="s">
        <v>39</v>
      </c>
      <c r="BQ19" s="97">
        <v>3</v>
      </c>
      <c r="BR19" s="98" t="s">
        <v>38</v>
      </c>
      <c r="BS19" s="99"/>
      <c r="BT19" s="102"/>
      <c r="BU19" s="102"/>
      <c r="BV19" s="102"/>
      <c r="BW19" s="104" t="s">
        <v>39</v>
      </c>
      <c r="BY19" s="97">
        <v>3</v>
      </c>
      <c r="BZ19" s="98" t="s">
        <v>38</v>
      </c>
      <c r="CA19" s="99"/>
      <c r="CB19" s="102"/>
      <c r="CC19" s="102"/>
      <c r="CD19" s="102"/>
      <c r="CE19" s="104" t="s">
        <v>39</v>
      </c>
    </row>
    <row r="20" spans="5:83">
      <c r="E20" s="97"/>
      <c r="F20" s="100"/>
      <c r="G20" s="101"/>
      <c r="H20" s="103"/>
      <c r="I20" s="103"/>
      <c r="J20" s="103"/>
      <c r="K20" s="105"/>
      <c r="M20" s="97"/>
      <c r="N20" s="100"/>
      <c r="O20" s="101"/>
      <c r="P20" s="111"/>
      <c r="Q20" s="111"/>
      <c r="R20" s="111"/>
      <c r="S20" s="105"/>
      <c r="U20" s="97"/>
      <c r="V20" s="100"/>
      <c r="W20" s="101"/>
      <c r="X20" s="103"/>
      <c r="Y20" s="103"/>
      <c r="Z20" s="103"/>
      <c r="AA20" s="105"/>
      <c r="AC20" s="97"/>
      <c r="AD20" s="100"/>
      <c r="AE20" s="101"/>
      <c r="AF20" s="103"/>
      <c r="AG20" s="103"/>
      <c r="AH20" s="103"/>
      <c r="AI20" s="105"/>
      <c r="AK20" s="97"/>
      <c r="AL20" s="100"/>
      <c r="AM20" s="101"/>
      <c r="AN20" s="103"/>
      <c r="AO20" s="103"/>
      <c r="AP20" s="103"/>
      <c r="AQ20" s="105"/>
      <c r="AS20" s="97"/>
      <c r="AT20" s="100"/>
      <c r="AU20" s="101"/>
      <c r="AV20" s="103"/>
      <c r="AW20" s="103"/>
      <c r="AX20" s="103"/>
      <c r="AY20" s="105"/>
      <c r="BA20" s="97"/>
      <c r="BB20" s="100"/>
      <c r="BC20" s="101"/>
      <c r="BD20" s="103"/>
      <c r="BE20" s="103"/>
      <c r="BF20" s="103"/>
      <c r="BG20" s="105"/>
      <c r="BI20" s="97"/>
      <c r="BJ20" s="100"/>
      <c r="BK20" s="101"/>
      <c r="BL20" s="103"/>
      <c r="BM20" s="103"/>
      <c r="BN20" s="103"/>
      <c r="BO20" s="105"/>
      <c r="BQ20" s="97"/>
      <c r="BR20" s="100"/>
      <c r="BS20" s="101"/>
      <c r="BT20" s="103"/>
      <c r="BU20" s="103"/>
      <c r="BV20" s="103"/>
      <c r="BW20" s="105"/>
      <c r="BY20" s="97"/>
      <c r="BZ20" s="100"/>
      <c r="CA20" s="101"/>
      <c r="CB20" s="103"/>
      <c r="CC20" s="103"/>
      <c r="CD20" s="103"/>
      <c r="CE20" s="105"/>
    </row>
    <row r="21" spans="5:83">
      <c r="H21" s="2"/>
      <c r="I21" s="4" t="s">
        <v>36</v>
      </c>
      <c r="J21" s="4" t="s">
        <v>37</v>
      </c>
      <c r="K21" s="44"/>
      <c r="P21" s="2"/>
      <c r="Q21" s="4" t="s">
        <v>36</v>
      </c>
      <c r="R21" s="4" t="s">
        <v>37</v>
      </c>
      <c r="S21" s="44"/>
      <c r="X21" s="2"/>
      <c r="Y21" s="4" t="s">
        <v>36</v>
      </c>
      <c r="Z21" s="4" t="s">
        <v>37</v>
      </c>
      <c r="AA21" s="44"/>
      <c r="AF21" s="2"/>
      <c r="AG21" s="4" t="s">
        <v>36</v>
      </c>
      <c r="AH21" s="4" t="s">
        <v>37</v>
      </c>
      <c r="AI21" s="44"/>
      <c r="AN21" s="2"/>
      <c r="AO21" s="4" t="s">
        <v>36</v>
      </c>
      <c r="AP21" s="4" t="s">
        <v>37</v>
      </c>
      <c r="AQ21" s="44"/>
      <c r="AV21" s="2"/>
      <c r="AW21" s="4" t="s">
        <v>36</v>
      </c>
      <c r="AX21" s="4" t="s">
        <v>37</v>
      </c>
      <c r="AY21" s="44"/>
      <c r="BD21" s="2"/>
      <c r="BE21" s="4" t="s">
        <v>36</v>
      </c>
      <c r="BF21" s="4" t="s">
        <v>37</v>
      </c>
      <c r="BG21" s="44"/>
      <c r="BL21" s="2"/>
      <c r="BM21" s="4" t="s">
        <v>36</v>
      </c>
      <c r="BN21" s="4" t="s">
        <v>37</v>
      </c>
      <c r="BO21" s="44"/>
      <c r="BT21" s="2"/>
      <c r="BU21" s="4" t="s">
        <v>36</v>
      </c>
      <c r="BV21" s="4" t="s">
        <v>37</v>
      </c>
      <c r="BW21" s="44"/>
      <c r="CB21" s="2"/>
      <c r="CC21" s="4" t="s">
        <v>36</v>
      </c>
      <c r="CD21" s="4" t="s">
        <v>37</v>
      </c>
      <c r="CE21" s="44"/>
    </row>
    <row r="22" spans="5:83">
      <c r="E22" s="97">
        <v>4</v>
      </c>
      <c r="F22" s="98" t="s">
        <v>38</v>
      </c>
      <c r="G22" s="99"/>
      <c r="H22" s="102"/>
      <c r="I22" s="102"/>
      <c r="J22" s="102"/>
      <c r="K22" s="104" t="s">
        <v>39</v>
      </c>
      <c r="M22" s="97">
        <v>4</v>
      </c>
      <c r="N22" s="98" t="s">
        <v>38</v>
      </c>
      <c r="O22" s="99"/>
      <c r="P22" s="110"/>
      <c r="Q22" s="110"/>
      <c r="R22" s="110"/>
      <c r="S22" s="104" t="s">
        <v>39</v>
      </c>
      <c r="U22" s="97">
        <v>4</v>
      </c>
      <c r="V22" s="98" t="s">
        <v>38</v>
      </c>
      <c r="W22" s="99"/>
      <c r="X22" s="102"/>
      <c r="Y22" s="102"/>
      <c r="Z22" s="102"/>
      <c r="AA22" s="104" t="s">
        <v>39</v>
      </c>
      <c r="AC22" s="97">
        <v>4</v>
      </c>
      <c r="AD22" s="98" t="s">
        <v>38</v>
      </c>
      <c r="AE22" s="99"/>
      <c r="AF22" s="102"/>
      <c r="AG22" s="102"/>
      <c r="AH22" s="102"/>
      <c r="AI22" s="104" t="s">
        <v>39</v>
      </c>
      <c r="AK22" s="97">
        <v>4</v>
      </c>
      <c r="AL22" s="98" t="s">
        <v>38</v>
      </c>
      <c r="AM22" s="99"/>
      <c r="AN22" s="102"/>
      <c r="AO22" s="102"/>
      <c r="AP22" s="102"/>
      <c r="AQ22" s="104" t="s">
        <v>39</v>
      </c>
      <c r="AS22" s="97">
        <v>4</v>
      </c>
      <c r="AT22" s="98" t="s">
        <v>38</v>
      </c>
      <c r="AU22" s="99"/>
      <c r="AV22" s="102"/>
      <c r="AW22" s="102"/>
      <c r="AX22" s="102"/>
      <c r="AY22" s="104" t="s">
        <v>39</v>
      </c>
      <c r="BA22" s="97">
        <v>4</v>
      </c>
      <c r="BB22" s="98" t="s">
        <v>38</v>
      </c>
      <c r="BC22" s="99"/>
      <c r="BD22" s="102"/>
      <c r="BE22" s="102"/>
      <c r="BF22" s="102"/>
      <c r="BG22" s="104" t="s">
        <v>39</v>
      </c>
      <c r="BI22" s="97">
        <v>4</v>
      </c>
      <c r="BJ22" s="98" t="s">
        <v>38</v>
      </c>
      <c r="BK22" s="99"/>
      <c r="BL22" s="102"/>
      <c r="BM22" s="102"/>
      <c r="BN22" s="102"/>
      <c r="BO22" s="104" t="s">
        <v>39</v>
      </c>
      <c r="BQ22" s="97">
        <v>4</v>
      </c>
      <c r="BR22" s="98" t="s">
        <v>38</v>
      </c>
      <c r="BS22" s="99"/>
      <c r="BT22" s="102"/>
      <c r="BU22" s="102"/>
      <c r="BV22" s="102"/>
      <c r="BW22" s="104" t="s">
        <v>39</v>
      </c>
      <c r="BY22" s="97">
        <v>4</v>
      </c>
      <c r="BZ22" s="98" t="s">
        <v>38</v>
      </c>
      <c r="CA22" s="99"/>
      <c r="CB22" s="102"/>
      <c r="CC22" s="102"/>
      <c r="CD22" s="102"/>
      <c r="CE22" s="104" t="s">
        <v>39</v>
      </c>
    </row>
    <row r="23" spans="5:83">
      <c r="E23" s="97"/>
      <c r="F23" s="100"/>
      <c r="G23" s="101"/>
      <c r="H23" s="103"/>
      <c r="I23" s="103"/>
      <c r="J23" s="103"/>
      <c r="K23" s="105"/>
      <c r="M23" s="97"/>
      <c r="N23" s="100"/>
      <c r="O23" s="101"/>
      <c r="P23" s="111"/>
      <c r="Q23" s="111"/>
      <c r="R23" s="111"/>
      <c r="S23" s="105"/>
      <c r="U23" s="97"/>
      <c r="V23" s="100"/>
      <c r="W23" s="101"/>
      <c r="X23" s="103"/>
      <c r="Y23" s="103"/>
      <c r="Z23" s="103"/>
      <c r="AA23" s="105"/>
      <c r="AC23" s="97"/>
      <c r="AD23" s="100"/>
      <c r="AE23" s="101"/>
      <c r="AF23" s="103"/>
      <c r="AG23" s="103"/>
      <c r="AH23" s="103"/>
      <c r="AI23" s="105"/>
      <c r="AK23" s="97"/>
      <c r="AL23" s="100"/>
      <c r="AM23" s="101"/>
      <c r="AN23" s="103"/>
      <c r="AO23" s="103"/>
      <c r="AP23" s="103"/>
      <c r="AQ23" s="105"/>
      <c r="AS23" s="97"/>
      <c r="AT23" s="100"/>
      <c r="AU23" s="101"/>
      <c r="AV23" s="103"/>
      <c r="AW23" s="103"/>
      <c r="AX23" s="103"/>
      <c r="AY23" s="105"/>
      <c r="BA23" s="97"/>
      <c r="BB23" s="100"/>
      <c r="BC23" s="101"/>
      <c r="BD23" s="103"/>
      <c r="BE23" s="103"/>
      <c r="BF23" s="103"/>
      <c r="BG23" s="105"/>
      <c r="BI23" s="97"/>
      <c r="BJ23" s="100"/>
      <c r="BK23" s="101"/>
      <c r="BL23" s="103"/>
      <c r="BM23" s="103"/>
      <c r="BN23" s="103"/>
      <c r="BO23" s="105"/>
      <c r="BQ23" s="97"/>
      <c r="BR23" s="100"/>
      <c r="BS23" s="101"/>
      <c r="BT23" s="103"/>
      <c r="BU23" s="103"/>
      <c r="BV23" s="103"/>
      <c r="BW23" s="105"/>
      <c r="BY23" s="97"/>
      <c r="BZ23" s="100"/>
      <c r="CA23" s="101"/>
      <c r="CB23" s="103"/>
      <c r="CC23" s="103"/>
      <c r="CD23" s="103"/>
      <c r="CE23" s="105"/>
    </row>
    <row r="24" spans="5:83" s="1" customFormat="1">
      <c r="H24" s="3"/>
      <c r="I24" s="4" t="s">
        <v>36</v>
      </c>
      <c r="J24" s="4" t="s">
        <v>37</v>
      </c>
      <c r="K24" s="44"/>
      <c r="P24" s="3"/>
      <c r="Q24" s="4" t="s">
        <v>36</v>
      </c>
      <c r="R24" s="4" t="s">
        <v>37</v>
      </c>
      <c r="S24" s="44"/>
      <c r="X24" s="3"/>
      <c r="Y24" s="4" t="s">
        <v>36</v>
      </c>
      <c r="Z24" s="4" t="s">
        <v>37</v>
      </c>
      <c r="AA24" s="44"/>
      <c r="AF24" s="3"/>
      <c r="AG24" s="4" t="s">
        <v>36</v>
      </c>
      <c r="AH24" s="4" t="s">
        <v>37</v>
      </c>
      <c r="AI24" s="44"/>
      <c r="AN24" s="3"/>
      <c r="AO24" s="4" t="s">
        <v>36</v>
      </c>
      <c r="AP24" s="4" t="s">
        <v>37</v>
      </c>
      <c r="AQ24" s="44"/>
      <c r="AV24" s="3"/>
      <c r="AW24" s="4" t="s">
        <v>36</v>
      </c>
      <c r="AX24" s="4" t="s">
        <v>37</v>
      </c>
      <c r="AY24" s="44"/>
      <c r="BD24" s="3"/>
      <c r="BE24" s="4" t="s">
        <v>36</v>
      </c>
      <c r="BF24" s="4" t="s">
        <v>37</v>
      </c>
      <c r="BG24" s="44"/>
      <c r="BL24" s="3"/>
      <c r="BM24" s="4" t="s">
        <v>36</v>
      </c>
      <c r="BN24" s="4" t="s">
        <v>37</v>
      </c>
      <c r="BO24" s="44"/>
      <c r="BT24" s="3"/>
      <c r="BU24" s="4" t="s">
        <v>36</v>
      </c>
      <c r="BV24" s="4" t="s">
        <v>37</v>
      </c>
      <c r="BW24" s="44"/>
      <c r="CB24" s="3"/>
      <c r="CC24" s="4" t="s">
        <v>36</v>
      </c>
      <c r="CD24" s="4" t="s">
        <v>37</v>
      </c>
      <c r="CE24" s="44"/>
    </row>
    <row r="25" spans="5:83">
      <c r="E25" s="97">
        <v>5</v>
      </c>
      <c r="F25" s="98" t="s">
        <v>38</v>
      </c>
      <c r="G25" s="99"/>
      <c r="H25" s="102"/>
      <c r="I25" s="102"/>
      <c r="J25" s="102"/>
      <c r="K25" s="104" t="s">
        <v>39</v>
      </c>
      <c r="M25" s="97">
        <v>5</v>
      </c>
      <c r="N25" s="98" t="s">
        <v>38</v>
      </c>
      <c r="O25" s="99"/>
      <c r="P25" s="110"/>
      <c r="Q25" s="110"/>
      <c r="R25" s="110"/>
      <c r="S25" s="104" t="s">
        <v>39</v>
      </c>
      <c r="U25" s="97">
        <v>5</v>
      </c>
      <c r="V25" s="98" t="s">
        <v>38</v>
      </c>
      <c r="W25" s="99"/>
      <c r="X25" s="102"/>
      <c r="Y25" s="102"/>
      <c r="Z25" s="102"/>
      <c r="AA25" s="104" t="s">
        <v>39</v>
      </c>
      <c r="AC25" s="97">
        <v>5</v>
      </c>
      <c r="AD25" s="98" t="s">
        <v>38</v>
      </c>
      <c r="AE25" s="99"/>
      <c r="AF25" s="102"/>
      <c r="AG25" s="102"/>
      <c r="AH25" s="102"/>
      <c r="AI25" s="104" t="s">
        <v>39</v>
      </c>
      <c r="AK25" s="97">
        <v>5</v>
      </c>
      <c r="AL25" s="98" t="s">
        <v>38</v>
      </c>
      <c r="AM25" s="99"/>
      <c r="AN25" s="102"/>
      <c r="AO25" s="102"/>
      <c r="AP25" s="102"/>
      <c r="AQ25" s="104" t="s">
        <v>40</v>
      </c>
      <c r="AS25" s="97">
        <v>5</v>
      </c>
      <c r="AT25" s="98" t="s">
        <v>38</v>
      </c>
      <c r="AU25" s="99"/>
      <c r="AV25" s="102"/>
      <c r="AW25" s="102"/>
      <c r="AX25" s="102"/>
      <c r="AY25" s="104" t="s">
        <v>39</v>
      </c>
      <c r="BA25" s="97">
        <v>5</v>
      </c>
      <c r="BB25" s="98" t="s">
        <v>38</v>
      </c>
      <c r="BC25" s="99"/>
      <c r="BD25" s="102"/>
      <c r="BE25" s="102"/>
      <c r="BF25" s="102"/>
      <c r="BG25" s="104" t="s">
        <v>39</v>
      </c>
      <c r="BI25" s="97">
        <v>5</v>
      </c>
      <c r="BJ25" s="98" t="s">
        <v>38</v>
      </c>
      <c r="BK25" s="99"/>
      <c r="BL25" s="102"/>
      <c r="BM25" s="102"/>
      <c r="BN25" s="102"/>
      <c r="BO25" s="104" t="s">
        <v>39</v>
      </c>
      <c r="BQ25" s="97">
        <v>5</v>
      </c>
      <c r="BR25" s="98" t="s">
        <v>38</v>
      </c>
      <c r="BS25" s="99"/>
      <c r="BT25" s="102"/>
      <c r="BU25" s="102"/>
      <c r="BV25" s="102"/>
      <c r="BW25" s="104" t="s">
        <v>39</v>
      </c>
      <c r="BY25" s="97">
        <v>5</v>
      </c>
      <c r="BZ25" s="98" t="s">
        <v>38</v>
      </c>
      <c r="CA25" s="99"/>
      <c r="CB25" s="102"/>
      <c r="CC25" s="102"/>
      <c r="CD25" s="102"/>
      <c r="CE25" s="104" t="s">
        <v>39</v>
      </c>
    </row>
    <row r="26" spans="5:83">
      <c r="E26" s="97"/>
      <c r="F26" s="100"/>
      <c r="G26" s="101"/>
      <c r="H26" s="103"/>
      <c r="I26" s="103"/>
      <c r="J26" s="103"/>
      <c r="K26" s="105"/>
      <c r="M26" s="97"/>
      <c r="N26" s="100"/>
      <c r="O26" s="101"/>
      <c r="P26" s="111"/>
      <c r="Q26" s="111"/>
      <c r="R26" s="111"/>
      <c r="S26" s="105"/>
      <c r="U26" s="97"/>
      <c r="V26" s="100"/>
      <c r="W26" s="101"/>
      <c r="X26" s="103"/>
      <c r="Y26" s="103"/>
      <c r="Z26" s="103"/>
      <c r="AA26" s="105"/>
      <c r="AC26" s="97"/>
      <c r="AD26" s="100"/>
      <c r="AE26" s="101"/>
      <c r="AF26" s="103"/>
      <c r="AG26" s="103"/>
      <c r="AH26" s="103"/>
      <c r="AI26" s="105"/>
      <c r="AK26" s="97"/>
      <c r="AL26" s="100"/>
      <c r="AM26" s="101"/>
      <c r="AN26" s="103"/>
      <c r="AO26" s="103"/>
      <c r="AP26" s="103"/>
      <c r="AQ26" s="105"/>
      <c r="AS26" s="97"/>
      <c r="AT26" s="100"/>
      <c r="AU26" s="101"/>
      <c r="AV26" s="103"/>
      <c r="AW26" s="103"/>
      <c r="AX26" s="103"/>
      <c r="AY26" s="105"/>
      <c r="BA26" s="97"/>
      <c r="BB26" s="100"/>
      <c r="BC26" s="101"/>
      <c r="BD26" s="103"/>
      <c r="BE26" s="103"/>
      <c r="BF26" s="103"/>
      <c r="BG26" s="105"/>
      <c r="BI26" s="97"/>
      <c r="BJ26" s="100"/>
      <c r="BK26" s="101"/>
      <c r="BL26" s="103"/>
      <c r="BM26" s="103"/>
      <c r="BN26" s="103"/>
      <c r="BO26" s="105"/>
      <c r="BQ26" s="97"/>
      <c r="BR26" s="100"/>
      <c r="BS26" s="101"/>
      <c r="BT26" s="103"/>
      <c r="BU26" s="103"/>
      <c r="BV26" s="103"/>
      <c r="BW26" s="105"/>
      <c r="BY26" s="97"/>
      <c r="BZ26" s="100"/>
      <c r="CA26" s="101"/>
      <c r="CB26" s="103"/>
      <c r="CC26" s="103"/>
      <c r="CD26" s="103"/>
      <c r="CE26" s="105"/>
    </row>
    <row r="27" spans="5:83" ht="14.45" customHeight="1"/>
    <row r="28" spans="5:83" ht="14.45" customHeight="1">
      <c r="E28" s="106"/>
      <c r="F28" s="106"/>
      <c r="G28" s="106"/>
      <c r="H28" s="107" t="s">
        <v>41</v>
      </c>
      <c r="I28" s="107" t="s">
        <v>42</v>
      </c>
      <c r="J28" s="107" t="s">
        <v>43</v>
      </c>
      <c r="K28" s="106"/>
      <c r="M28" s="106"/>
      <c r="N28" s="106"/>
      <c r="O28" s="106"/>
      <c r="P28" s="107" t="s">
        <v>41</v>
      </c>
      <c r="Q28" s="108" t="s">
        <v>42</v>
      </c>
      <c r="R28" s="108" t="s">
        <v>43</v>
      </c>
      <c r="S28" s="106"/>
      <c r="U28" s="106"/>
      <c r="V28" s="106"/>
      <c r="W28" s="106"/>
      <c r="X28" s="107" t="s">
        <v>41</v>
      </c>
      <c r="Y28" s="108" t="s">
        <v>42</v>
      </c>
      <c r="Z28" s="108" t="s">
        <v>43</v>
      </c>
      <c r="AA28" s="106"/>
      <c r="AC28" s="106"/>
      <c r="AD28" s="106"/>
      <c r="AE28" s="106"/>
      <c r="AF28" s="107" t="s">
        <v>41</v>
      </c>
      <c r="AG28" s="108" t="s">
        <v>42</v>
      </c>
      <c r="AH28" s="108" t="s">
        <v>43</v>
      </c>
      <c r="AI28" s="106"/>
      <c r="AK28" s="106"/>
      <c r="AL28" s="106"/>
      <c r="AM28" s="106"/>
      <c r="AN28" s="107" t="s">
        <v>41</v>
      </c>
      <c r="AO28" s="108" t="s">
        <v>42</v>
      </c>
      <c r="AP28" s="108" t="s">
        <v>43</v>
      </c>
      <c r="AQ28" s="106"/>
      <c r="AS28" s="106"/>
      <c r="AT28" s="106"/>
      <c r="AU28" s="106"/>
      <c r="AV28" s="107" t="s">
        <v>41</v>
      </c>
      <c r="AW28" s="108" t="s">
        <v>42</v>
      </c>
      <c r="AX28" s="108" t="s">
        <v>43</v>
      </c>
      <c r="AY28" s="106"/>
      <c r="BA28" s="106"/>
      <c r="BB28" s="106"/>
      <c r="BC28" s="106"/>
      <c r="BD28" s="107" t="s">
        <v>41</v>
      </c>
      <c r="BE28" s="108" t="s">
        <v>42</v>
      </c>
      <c r="BF28" s="108" t="s">
        <v>43</v>
      </c>
      <c r="BG28" s="106"/>
      <c r="BI28" s="106"/>
      <c r="BJ28" s="106"/>
      <c r="BK28" s="106"/>
      <c r="BL28" s="107" t="s">
        <v>41</v>
      </c>
      <c r="BM28" s="108" t="s">
        <v>42</v>
      </c>
      <c r="BN28" s="108" t="s">
        <v>43</v>
      </c>
      <c r="BO28" s="106"/>
      <c r="BQ28" s="106"/>
      <c r="BR28" s="106"/>
      <c r="BS28" s="106"/>
      <c r="BT28" s="107" t="s">
        <v>41</v>
      </c>
      <c r="BU28" s="108" t="s">
        <v>42</v>
      </c>
      <c r="BV28" s="108" t="s">
        <v>43</v>
      </c>
      <c r="BW28" s="106"/>
      <c r="BY28" s="106"/>
      <c r="BZ28" s="106"/>
      <c r="CA28" s="106"/>
      <c r="CB28" s="107" t="s">
        <v>41</v>
      </c>
      <c r="CC28" s="108" t="s">
        <v>42</v>
      </c>
      <c r="CD28" s="108" t="s">
        <v>43</v>
      </c>
      <c r="CE28" s="106"/>
    </row>
    <row r="29" spans="5:83" s="1" customFormat="1" ht="14.45" customHeight="1">
      <c r="E29" s="106"/>
      <c r="F29" s="106"/>
      <c r="G29" s="106"/>
      <c r="H29" s="108"/>
      <c r="I29" s="108"/>
      <c r="J29" s="108"/>
      <c r="K29" s="106"/>
      <c r="M29" s="106"/>
      <c r="N29" s="106"/>
      <c r="O29" s="106"/>
      <c r="P29" s="108"/>
      <c r="Q29" s="108"/>
      <c r="R29" s="108"/>
      <c r="S29" s="106"/>
      <c r="U29" s="106"/>
      <c r="V29" s="106"/>
      <c r="W29" s="106"/>
      <c r="X29" s="108"/>
      <c r="Y29" s="108"/>
      <c r="Z29" s="108"/>
      <c r="AA29" s="106"/>
      <c r="AC29" s="106"/>
      <c r="AD29" s="106"/>
      <c r="AE29" s="106"/>
      <c r="AF29" s="108"/>
      <c r="AG29" s="108"/>
      <c r="AH29" s="108"/>
      <c r="AI29" s="106"/>
      <c r="AK29" s="106"/>
      <c r="AL29" s="106"/>
      <c r="AM29" s="106"/>
      <c r="AN29" s="108"/>
      <c r="AO29" s="108"/>
      <c r="AP29" s="108"/>
      <c r="AQ29" s="106"/>
      <c r="AS29" s="106"/>
      <c r="AT29" s="106"/>
      <c r="AU29" s="106"/>
      <c r="AV29" s="108"/>
      <c r="AW29" s="108"/>
      <c r="AX29" s="108"/>
      <c r="AY29" s="106"/>
      <c r="BA29" s="106"/>
      <c r="BB29" s="106"/>
      <c r="BC29" s="106"/>
      <c r="BD29" s="108"/>
      <c r="BE29" s="108"/>
      <c r="BF29" s="108"/>
      <c r="BG29" s="106"/>
      <c r="BI29" s="106"/>
      <c r="BJ29" s="106"/>
      <c r="BK29" s="106"/>
      <c r="BL29" s="108"/>
      <c r="BM29" s="108"/>
      <c r="BN29" s="108"/>
      <c r="BO29" s="106"/>
      <c r="BQ29" s="106"/>
      <c r="BR29" s="106"/>
      <c r="BS29" s="106"/>
      <c r="BT29" s="108"/>
      <c r="BU29" s="108"/>
      <c r="BV29" s="108"/>
      <c r="BW29" s="106"/>
      <c r="BY29" s="106"/>
      <c r="BZ29" s="106"/>
      <c r="CA29" s="106"/>
      <c r="CB29" s="108"/>
      <c r="CC29" s="108"/>
      <c r="CD29" s="108"/>
      <c r="CE29" s="106"/>
    </row>
    <row r="30" spans="5:83" ht="51.6" customHeight="1">
      <c r="E30" s="11"/>
      <c r="F30" s="11"/>
      <c r="G30" s="11"/>
      <c r="H30" s="55"/>
      <c r="I30" s="56"/>
      <c r="J30" s="56"/>
      <c r="K30" s="11"/>
      <c r="M30" s="11"/>
      <c r="N30" s="11"/>
      <c r="O30" s="11"/>
      <c r="P30" s="37"/>
      <c r="Q30" s="37"/>
      <c r="R30" s="37"/>
      <c r="S30" s="11"/>
      <c r="U30" s="11"/>
      <c r="V30" s="11"/>
      <c r="W30" s="11"/>
      <c r="X30" s="57"/>
      <c r="Y30" s="57"/>
      <c r="Z30" s="57"/>
      <c r="AA30" s="11"/>
      <c r="AC30" s="11"/>
      <c r="AD30" s="11"/>
      <c r="AE30" s="11"/>
      <c r="AF30" s="57"/>
      <c r="AG30" s="57"/>
      <c r="AH30" s="57"/>
      <c r="AI30" s="11"/>
      <c r="AK30" s="11"/>
      <c r="AL30" s="11"/>
      <c r="AM30" s="11"/>
      <c r="AN30" s="57"/>
      <c r="AO30" s="57"/>
      <c r="AP30" s="57"/>
      <c r="AQ30" s="11"/>
      <c r="AS30" s="11"/>
      <c r="AT30" s="11"/>
      <c r="AU30" s="11"/>
      <c r="AV30" s="57"/>
      <c r="AW30" s="57"/>
      <c r="AX30" s="57"/>
      <c r="AY30" s="11"/>
      <c r="BA30" s="11"/>
      <c r="BB30" s="11"/>
      <c r="BC30" s="11"/>
      <c r="BD30" s="57"/>
      <c r="BE30" s="57"/>
      <c r="BF30" s="57"/>
      <c r="BG30" s="11"/>
      <c r="BI30" s="11"/>
      <c r="BJ30" s="11"/>
      <c r="BK30" s="11"/>
      <c r="BL30" s="57"/>
      <c r="BM30" s="57"/>
      <c r="BN30" s="57"/>
      <c r="BO30" s="11"/>
      <c r="BQ30" s="11"/>
      <c r="BR30" s="11"/>
      <c r="BS30" s="11"/>
      <c r="BT30" s="57"/>
      <c r="BU30" s="57"/>
      <c r="BV30" s="57"/>
      <c r="BW30" s="11"/>
      <c r="BY30" s="11"/>
      <c r="BZ30" s="11"/>
      <c r="CA30" s="11"/>
      <c r="CB30" s="57"/>
      <c r="CC30" s="57"/>
      <c r="CD30" s="57"/>
      <c r="CE30" s="11"/>
    </row>
    <row r="31" spans="5:83" s="1" customFormat="1"/>
    <row r="32" spans="5:83" ht="17.45" customHeight="1"/>
    <row r="33" spans="4:12" ht="18" customHeight="1"/>
    <row r="34" spans="4:12" ht="14.65" customHeight="1"/>
    <row r="35" spans="4:12" ht="14.65" customHeight="1"/>
    <row r="36" spans="4:12" s="1" customFormat="1" ht="25.5" customHeight="1"/>
    <row r="37" spans="4:12" ht="14.65" customHeight="1"/>
    <row r="41" spans="4:12" s="1" customFormat="1"/>
    <row r="46" spans="4:12" s="1" customFormat="1"/>
    <row r="48" spans="4:12">
      <c r="D48" s="12"/>
      <c r="E48" s="12"/>
      <c r="F48" s="12"/>
      <c r="G48" s="12"/>
      <c r="H48" s="12"/>
      <c r="I48" s="12"/>
      <c r="J48" s="12"/>
      <c r="K48" s="12"/>
      <c r="L48" s="12"/>
    </row>
    <row r="49" spans="4:12">
      <c r="D49" s="12"/>
      <c r="E49" s="12"/>
      <c r="F49" s="12"/>
      <c r="G49" s="12"/>
      <c r="H49" s="12"/>
      <c r="I49" s="12"/>
      <c r="J49" s="12"/>
      <c r="K49" s="12"/>
      <c r="L49" s="12"/>
    </row>
    <row r="50" spans="4:12" ht="14.45" customHeight="1">
      <c r="D50" s="12"/>
      <c r="E50" s="106"/>
      <c r="F50" s="106"/>
      <c r="G50" s="106"/>
      <c r="H50" s="106"/>
      <c r="I50" s="23"/>
      <c r="J50" s="23"/>
      <c r="K50" s="106"/>
      <c r="L50" s="12"/>
    </row>
    <row r="51" spans="4:12" s="1" customFormat="1" ht="14.45" customHeight="1">
      <c r="D51" s="16"/>
      <c r="E51" s="106"/>
      <c r="F51" s="106"/>
      <c r="G51" s="106"/>
      <c r="H51" s="106"/>
      <c r="I51" s="23"/>
      <c r="J51" s="23"/>
      <c r="K51" s="106"/>
      <c r="L51" s="16"/>
    </row>
    <row r="52" spans="4:12" ht="51.6" customHeight="1">
      <c r="D52" s="12"/>
      <c r="E52" s="11"/>
      <c r="F52" s="11"/>
      <c r="G52" s="11"/>
      <c r="H52" s="11"/>
      <c r="I52" s="11"/>
      <c r="J52" s="11"/>
      <c r="K52" s="11"/>
      <c r="L52" s="12"/>
    </row>
    <row r="53" spans="4:12">
      <c r="D53" s="12"/>
      <c r="E53" s="12"/>
      <c r="F53" s="12"/>
      <c r="G53" s="12"/>
      <c r="H53" s="12"/>
      <c r="I53" s="12"/>
      <c r="J53" s="12"/>
      <c r="K53" s="12"/>
      <c r="L53" s="12"/>
    </row>
    <row r="54" spans="4:12" s="1" customFormat="1">
      <c r="D54" s="16"/>
      <c r="E54" s="117"/>
      <c r="F54" s="117"/>
      <c r="G54" s="117"/>
      <c r="H54" s="116"/>
      <c r="I54" s="22"/>
      <c r="J54" s="22"/>
      <c r="K54" s="15"/>
      <c r="L54" s="16"/>
    </row>
    <row r="55" spans="4:12" ht="17.45" customHeight="1">
      <c r="D55" s="12"/>
      <c r="E55" s="117"/>
      <c r="F55" s="117"/>
      <c r="G55" s="117"/>
      <c r="H55" s="116"/>
      <c r="I55" s="22"/>
      <c r="J55" s="22"/>
      <c r="K55" s="15"/>
      <c r="L55" s="12"/>
    </row>
    <row r="56" spans="4:12" ht="18" customHeight="1">
      <c r="D56" s="12"/>
      <c r="E56" s="117"/>
      <c r="F56" s="117"/>
      <c r="G56" s="117"/>
      <c r="H56" s="116"/>
      <c r="I56" s="22"/>
      <c r="J56" s="22"/>
      <c r="K56" s="15"/>
      <c r="L56" s="12"/>
    </row>
    <row r="57" spans="4:12" ht="14.65" customHeight="1">
      <c r="D57" s="12"/>
      <c r="E57" s="12"/>
      <c r="F57" s="12"/>
      <c r="G57" s="12"/>
      <c r="H57" s="12"/>
      <c r="I57" s="12"/>
      <c r="J57" s="12"/>
      <c r="K57" s="12"/>
      <c r="L57" s="12"/>
    </row>
    <row r="58" spans="4:12" ht="14.65" customHeight="1">
      <c r="D58" s="12"/>
      <c r="E58" s="112"/>
      <c r="F58" s="113"/>
      <c r="G58" s="113"/>
      <c r="H58" s="114"/>
      <c r="I58" s="21"/>
      <c r="J58" s="21"/>
      <c r="K58" s="115"/>
      <c r="L58" s="12"/>
    </row>
    <row r="59" spans="4:12" s="1" customFormat="1" ht="25.5" customHeight="1">
      <c r="D59" s="16"/>
      <c r="E59" s="112"/>
      <c r="F59" s="113"/>
      <c r="G59" s="113"/>
      <c r="H59" s="114"/>
      <c r="I59" s="21"/>
      <c r="J59" s="21"/>
      <c r="K59" s="115"/>
      <c r="L59" s="16"/>
    </row>
    <row r="60" spans="4:12" ht="14.65" customHeight="1">
      <c r="D60" s="12"/>
      <c r="E60" s="12"/>
      <c r="F60" s="12"/>
      <c r="G60" s="12"/>
      <c r="H60" s="17"/>
      <c r="I60" s="17"/>
      <c r="J60" s="17"/>
      <c r="K60" s="18"/>
      <c r="L60" s="12"/>
    </row>
    <row r="61" spans="4:12">
      <c r="D61" s="12"/>
      <c r="E61" s="112"/>
      <c r="F61" s="113"/>
      <c r="G61" s="113"/>
      <c r="H61" s="114"/>
      <c r="I61" s="21"/>
      <c r="J61" s="21"/>
      <c r="K61" s="115"/>
      <c r="L61" s="12"/>
    </row>
    <row r="62" spans="4:12">
      <c r="D62" s="12"/>
      <c r="E62" s="112"/>
      <c r="F62" s="113"/>
      <c r="G62" s="113"/>
      <c r="H62" s="114"/>
      <c r="I62" s="21"/>
      <c r="J62" s="21"/>
      <c r="K62" s="115"/>
      <c r="L62" s="12"/>
    </row>
    <row r="63" spans="4:12">
      <c r="D63" s="12"/>
      <c r="E63" s="12"/>
      <c r="F63" s="12"/>
      <c r="G63" s="12"/>
      <c r="H63" s="17"/>
      <c r="I63" s="17"/>
      <c r="J63" s="17"/>
      <c r="K63" s="19"/>
      <c r="L63" s="12"/>
    </row>
    <row r="64" spans="4:12" s="1" customFormat="1">
      <c r="D64" s="16"/>
      <c r="E64" s="112"/>
      <c r="F64" s="113"/>
      <c r="G64" s="113"/>
      <c r="H64" s="114"/>
      <c r="I64" s="21"/>
      <c r="J64" s="21"/>
      <c r="K64" s="115"/>
      <c r="L64" s="16"/>
    </row>
    <row r="65" spans="4:12">
      <c r="D65" s="12"/>
      <c r="E65" s="112"/>
      <c r="F65" s="113"/>
      <c r="G65" s="113"/>
      <c r="H65" s="114"/>
      <c r="I65" s="21"/>
      <c r="J65" s="21"/>
      <c r="K65" s="115"/>
      <c r="L65" s="12"/>
    </row>
    <row r="66" spans="4:12">
      <c r="D66" s="12"/>
      <c r="E66" s="12"/>
      <c r="F66" s="12"/>
      <c r="G66" s="12"/>
      <c r="H66" s="17"/>
      <c r="I66" s="17"/>
      <c r="J66" s="17"/>
      <c r="K66" s="19"/>
      <c r="L66" s="12"/>
    </row>
    <row r="67" spans="4:12">
      <c r="D67" s="12"/>
      <c r="E67" s="112"/>
      <c r="F67" s="113"/>
      <c r="G67" s="113"/>
      <c r="H67" s="114"/>
      <c r="I67" s="21"/>
      <c r="J67" s="21"/>
      <c r="K67" s="115"/>
      <c r="L67" s="12"/>
    </row>
    <row r="68" spans="4:12">
      <c r="D68" s="12"/>
      <c r="E68" s="112"/>
      <c r="F68" s="113"/>
      <c r="G68" s="113"/>
      <c r="H68" s="114"/>
      <c r="I68" s="21"/>
      <c r="J68" s="21"/>
      <c r="K68" s="115"/>
      <c r="L68" s="12"/>
    </row>
    <row r="69" spans="4:12" s="1" customFormat="1">
      <c r="D69" s="16"/>
      <c r="E69" s="16"/>
      <c r="F69" s="16"/>
      <c r="G69" s="16"/>
      <c r="H69" s="20"/>
      <c r="I69" s="20"/>
      <c r="J69" s="20"/>
      <c r="K69" s="19"/>
      <c r="L69" s="16"/>
    </row>
    <row r="70" spans="4:12">
      <c r="D70" s="12"/>
      <c r="E70" s="112"/>
      <c r="F70" s="113"/>
      <c r="G70" s="113"/>
      <c r="H70" s="114"/>
      <c r="I70" s="21"/>
      <c r="J70" s="21"/>
      <c r="K70" s="115"/>
      <c r="L70" s="12"/>
    </row>
    <row r="71" spans="4:12">
      <c r="D71" s="12"/>
      <c r="E71" s="112"/>
      <c r="F71" s="113"/>
      <c r="G71" s="113"/>
      <c r="H71" s="114"/>
      <c r="I71" s="21"/>
      <c r="J71" s="21"/>
      <c r="K71" s="115"/>
      <c r="L71" s="12"/>
    </row>
    <row r="72" spans="4:12">
      <c r="D72" s="12"/>
      <c r="E72" s="12"/>
      <c r="F72" s="12"/>
      <c r="G72" s="12"/>
      <c r="H72" s="12"/>
      <c r="I72" s="12"/>
      <c r="J72" s="12"/>
      <c r="K72" s="12"/>
      <c r="L72" s="12"/>
    </row>
    <row r="73" spans="4:12" ht="14.45" customHeight="1">
      <c r="D73" s="12"/>
      <c r="E73" s="106"/>
      <c r="F73" s="106"/>
      <c r="G73" s="106"/>
      <c r="H73" s="106"/>
      <c r="I73" s="23"/>
      <c r="J73" s="23"/>
      <c r="K73" s="106"/>
      <c r="L73" s="12"/>
    </row>
    <row r="74" spans="4:12" s="1" customFormat="1" ht="14.45" customHeight="1">
      <c r="D74" s="16"/>
      <c r="E74" s="106"/>
      <c r="F74" s="106"/>
      <c r="G74" s="106"/>
      <c r="H74" s="106"/>
      <c r="I74" s="23"/>
      <c r="J74" s="23"/>
      <c r="K74" s="106"/>
      <c r="L74" s="16"/>
    </row>
    <row r="75" spans="4:12" ht="51.6" customHeight="1">
      <c r="D75" s="12"/>
      <c r="E75" s="11"/>
      <c r="F75" s="11"/>
      <c r="G75" s="11"/>
      <c r="H75" s="11"/>
      <c r="I75" s="11"/>
      <c r="J75" s="11"/>
      <c r="K75" s="11"/>
      <c r="L75" s="12"/>
    </row>
  </sheetData>
  <mergeCells count="422">
    <mergeCell ref="F73:F74"/>
    <mergeCell ref="G73:G74"/>
    <mergeCell ref="K19:K20"/>
    <mergeCell ref="H73:H74"/>
    <mergeCell ref="E64:E65"/>
    <mergeCell ref="F64:G65"/>
    <mergeCell ref="H64:H65"/>
    <mergeCell ref="F58:G59"/>
    <mergeCell ref="H58:H59"/>
    <mergeCell ref="E70:E71"/>
    <mergeCell ref="F70:G71"/>
    <mergeCell ref="H70:H71"/>
    <mergeCell ref="K70:K71"/>
    <mergeCell ref="E50:E51"/>
    <mergeCell ref="F50:F51"/>
    <mergeCell ref="G50:G51"/>
    <mergeCell ref="H50:H51"/>
    <mergeCell ref="K50:K51"/>
    <mergeCell ref="E54:G56"/>
    <mergeCell ref="E58:E59"/>
    <mergeCell ref="K58:K59"/>
    <mergeCell ref="I28:I29"/>
    <mergeCell ref="J28:J29"/>
    <mergeCell ref="E13:E14"/>
    <mergeCell ref="F13:G14"/>
    <mergeCell ref="H13:H14"/>
    <mergeCell ref="E9:G11"/>
    <mergeCell ref="I13:I14"/>
    <mergeCell ref="J13:J14"/>
    <mergeCell ref="H9:J11"/>
    <mergeCell ref="K73:K74"/>
    <mergeCell ref="H28:H29"/>
    <mergeCell ref="E28:E29"/>
    <mergeCell ref="F28:F29"/>
    <mergeCell ref="G28:G29"/>
    <mergeCell ref="K28:K29"/>
    <mergeCell ref="E67:E68"/>
    <mergeCell ref="F67:G68"/>
    <mergeCell ref="H67:H68"/>
    <mergeCell ref="K67:K68"/>
    <mergeCell ref="H54:H56"/>
    <mergeCell ref="E61:E62"/>
    <mergeCell ref="F61:G62"/>
    <mergeCell ref="H61:H62"/>
    <mergeCell ref="K61:K62"/>
    <mergeCell ref="K64:K65"/>
    <mergeCell ref="E73:E74"/>
    <mergeCell ref="Q13:Q14"/>
    <mergeCell ref="S19:S20"/>
    <mergeCell ref="K13:K14"/>
    <mergeCell ref="K16:K17"/>
    <mergeCell ref="E25:E26"/>
    <mergeCell ref="F25:G26"/>
    <mergeCell ref="H25:H26"/>
    <mergeCell ref="E22:E23"/>
    <mergeCell ref="F22:G23"/>
    <mergeCell ref="H22:H23"/>
    <mergeCell ref="E19:E20"/>
    <mergeCell ref="F19:G20"/>
    <mergeCell ref="H19:H20"/>
    <mergeCell ref="I22:I23"/>
    <mergeCell ref="J22:J23"/>
    <mergeCell ref="I25:I26"/>
    <mergeCell ref="J25:J26"/>
    <mergeCell ref="E16:E17"/>
    <mergeCell ref="F16:G17"/>
    <mergeCell ref="H16:H17"/>
    <mergeCell ref="I16:I17"/>
    <mergeCell ref="J16:J17"/>
    <mergeCell ref="I19:I20"/>
    <mergeCell ref="J19:J20"/>
    <mergeCell ref="R28:R29"/>
    <mergeCell ref="R22:R23"/>
    <mergeCell ref="S22:S23"/>
    <mergeCell ref="M25:M26"/>
    <mergeCell ref="R25:R26"/>
    <mergeCell ref="S25:S26"/>
    <mergeCell ref="S13:S14"/>
    <mergeCell ref="S16:S17"/>
    <mergeCell ref="M9:O11"/>
    <mergeCell ref="N13:O14"/>
    <mergeCell ref="N16:O17"/>
    <mergeCell ref="N19:O20"/>
    <mergeCell ref="P9:R11"/>
    <mergeCell ref="M13:M14"/>
    <mergeCell ref="R13:R14"/>
    <mergeCell ref="M16:M17"/>
    <mergeCell ref="R16:R17"/>
    <mergeCell ref="M19:M20"/>
    <mergeCell ref="R19:R20"/>
    <mergeCell ref="P13:P14"/>
    <mergeCell ref="P16:P17"/>
    <mergeCell ref="P19:P20"/>
    <mergeCell ref="Q19:Q20"/>
    <mergeCell ref="Q16:Q17"/>
    <mergeCell ref="N22:O23"/>
    <mergeCell ref="N25:O26"/>
    <mergeCell ref="P22:P23"/>
    <mergeCell ref="P25:P26"/>
    <mergeCell ref="K22:K23"/>
    <mergeCell ref="K25:K26"/>
    <mergeCell ref="M22:M23"/>
    <mergeCell ref="P28:P29"/>
    <mergeCell ref="Q25:Q26"/>
    <mergeCell ref="Q22:Q23"/>
    <mergeCell ref="M28:M29"/>
    <mergeCell ref="N28:N29"/>
    <mergeCell ref="O28:O29"/>
    <mergeCell ref="Q28:Q29"/>
    <mergeCell ref="U9:W11"/>
    <mergeCell ref="X9:Z11"/>
    <mergeCell ref="U13:U14"/>
    <mergeCell ref="V13:W14"/>
    <mergeCell ref="X13:X14"/>
    <mergeCell ref="Y13:Y14"/>
    <mergeCell ref="Z13:Z14"/>
    <mergeCell ref="U19:U20"/>
    <mergeCell ref="V19:W20"/>
    <mergeCell ref="X19:X20"/>
    <mergeCell ref="Y19:Y20"/>
    <mergeCell ref="Z19:Z20"/>
    <mergeCell ref="U16:U17"/>
    <mergeCell ref="V16:W17"/>
    <mergeCell ref="X16:X17"/>
    <mergeCell ref="Y16:Y17"/>
    <mergeCell ref="Z16:Z17"/>
    <mergeCell ref="AA16:AA17"/>
    <mergeCell ref="S28:S29"/>
    <mergeCell ref="U25:U26"/>
    <mergeCell ref="U28:U29"/>
    <mergeCell ref="W28:W29"/>
    <mergeCell ref="X28:X29"/>
    <mergeCell ref="Y28:Y29"/>
    <mergeCell ref="Z28:Z29"/>
    <mergeCell ref="AA28:AA29"/>
    <mergeCell ref="AA19:AA20"/>
    <mergeCell ref="U22:U23"/>
    <mergeCell ref="V22:W23"/>
    <mergeCell ref="X22:X23"/>
    <mergeCell ref="Y22:Y23"/>
    <mergeCell ref="Z22:Z23"/>
    <mergeCell ref="AA22:AA23"/>
    <mergeCell ref="V25:W26"/>
    <mergeCell ref="V28:V29"/>
    <mergeCell ref="AC9:AE11"/>
    <mergeCell ref="AF9:AH11"/>
    <mergeCell ref="AC13:AC14"/>
    <mergeCell ref="AD13:AE14"/>
    <mergeCell ref="AF13:AF14"/>
    <mergeCell ref="AG13:AG14"/>
    <mergeCell ref="AH13:AH14"/>
    <mergeCell ref="AC19:AC20"/>
    <mergeCell ref="AD19:AE20"/>
    <mergeCell ref="AF19:AF20"/>
    <mergeCell ref="AG19:AG20"/>
    <mergeCell ref="AH19:AH20"/>
    <mergeCell ref="AI13:AI14"/>
    <mergeCell ref="AC16:AC17"/>
    <mergeCell ref="AD16:AE17"/>
    <mergeCell ref="AF16:AF17"/>
    <mergeCell ref="AG16:AG17"/>
    <mergeCell ref="AH16:AH17"/>
    <mergeCell ref="AI16:AI17"/>
    <mergeCell ref="AC25:AC26"/>
    <mergeCell ref="X25:X26"/>
    <mergeCell ref="Y25:Y26"/>
    <mergeCell ref="Z25:Z26"/>
    <mergeCell ref="AA25:AA26"/>
    <mergeCell ref="AA13:AA14"/>
    <mergeCell ref="AD25:AE26"/>
    <mergeCell ref="AF25:AF26"/>
    <mergeCell ref="AG25:AG26"/>
    <mergeCell ref="AH25:AH26"/>
    <mergeCell ref="AI25:AI26"/>
    <mergeCell ref="AI19:AI20"/>
    <mergeCell ref="AC22:AC23"/>
    <mergeCell ref="AD22:AE23"/>
    <mergeCell ref="AF22:AF23"/>
    <mergeCell ref="AG22:AG23"/>
    <mergeCell ref="AH22:AH23"/>
    <mergeCell ref="AI22:AI23"/>
    <mergeCell ref="AH28:AH29"/>
    <mergeCell ref="AI28:AI29"/>
    <mergeCell ref="AC28:AC29"/>
    <mergeCell ref="AD28:AD29"/>
    <mergeCell ref="AE28:AE29"/>
    <mergeCell ref="AF28:AF29"/>
    <mergeCell ref="AG28:AG29"/>
    <mergeCell ref="AK16:AK17"/>
    <mergeCell ref="AK22:AK23"/>
    <mergeCell ref="AK28:AK29"/>
    <mergeCell ref="AL16:AM17"/>
    <mergeCell ref="AN16:AN17"/>
    <mergeCell ref="AO16:AO17"/>
    <mergeCell ref="AP16:AP17"/>
    <mergeCell ref="AQ16:AQ17"/>
    <mergeCell ref="AK9:AM11"/>
    <mergeCell ref="AN9:AP11"/>
    <mergeCell ref="AK13:AK14"/>
    <mergeCell ref="AL13:AM14"/>
    <mergeCell ref="AN13:AN14"/>
    <mergeCell ref="AO13:AO14"/>
    <mergeCell ref="AP13:AP14"/>
    <mergeCell ref="AQ13:AQ14"/>
    <mergeCell ref="AL22:AM23"/>
    <mergeCell ref="AN22:AN23"/>
    <mergeCell ref="AO22:AO23"/>
    <mergeCell ref="AP22:AP23"/>
    <mergeCell ref="AQ22:AQ23"/>
    <mergeCell ref="AK19:AK20"/>
    <mergeCell ref="AL19:AM20"/>
    <mergeCell ref="AN19:AN20"/>
    <mergeCell ref="AO19:AO20"/>
    <mergeCell ref="AP19:AP20"/>
    <mergeCell ref="AQ19:AQ20"/>
    <mergeCell ref="AL28:AL29"/>
    <mergeCell ref="AM28:AM29"/>
    <mergeCell ref="AN28:AN29"/>
    <mergeCell ref="AO28:AO29"/>
    <mergeCell ref="AP28:AP29"/>
    <mergeCell ref="AQ28:AQ29"/>
    <mergeCell ref="AK25:AK26"/>
    <mergeCell ref="AL25:AM26"/>
    <mergeCell ref="AN25:AN26"/>
    <mergeCell ref="AO25:AO26"/>
    <mergeCell ref="AP25:AP26"/>
    <mergeCell ref="AQ25:AQ26"/>
    <mergeCell ref="AW22:AW23"/>
    <mergeCell ref="AX22:AX23"/>
    <mergeCell ref="AY22:AY23"/>
    <mergeCell ref="AS9:AU11"/>
    <mergeCell ref="AV9:AX11"/>
    <mergeCell ref="AS13:AS14"/>
    <mergeCell ref="AT13:AU14"/>
    <mergeCell ref="AV13:AV14"/>
    <mergeCell ref="AW13:AW14"/>
    <mergeCell ref="AX13:AX14"/>
    <mergeCell ref="AS19:AS20"/>
    <mergeCell ref="AT19:AU20"/>
    <mergeCell ref="AV19:AV20"/>
    <mergeCell ref="AW19:AW20"/>
    <mergeCell ref="AX19:AX20"/>
    <mergeCell ref="AX28:AX29"/>
    <mergeCell ref="AY28:AY29"/>
    <mergeCell ref="AS28:AS29"/>
    <mergeCell ref="AT28:AT29"/>
    <mergeCell ref="AU28:AU29"/>
    <mergeCell ref="AV28:AV29"/>
    <mergeCell ref="AW28:AW29"/>
    <mergeCell ref="AY13:AY14"/>
    <mergeCell ref="AS16:AS17"/>
    <mergeCell ref="AT16:AU17"/>
    <mergeCell ref="AV16:AV17"/>
    <mergeCell ref="AW16:AW17"/>
    <mergeCell ref="AX16:AX17"/>
    <mergeCell ref="AY16:AY17"/>
    <mergeCell ref="AS25:AS26"/>
    <mergeCell ref="AT25:AU26"/>
    <mergeCell ref="AV25:AV26"/>
    <mergeCell ref="AW25:AW26"/>
    <mergeCell ref="AX25:AX26"/>
    <mergeCell ref="AY25:AY26"/>
    <mergeCell ref="AY19:AY20"/>
    <mergeCell ref="AS22:AS23"/>
    <mergeCell ref="AT22:AU23"/>
    <mergeCell ref="AV22:AV23"/>
    <mergeCell ref="BA9:BC11"/>
    <mergeCell ref="BD9:BF11"/>
    <mergeCell ref="BA13:BA14"/>
    <mergeCell ref="BB13:BC14"/>
    <mergeCell ref="BD13:BD14"/>
    <mergeCell ref="BE13:BE14"/>
    <mergeCell ref="BF13:BF14"/>
    <mergeCell ref="BG13:BG14"/>
    <mergeCell ref="BA16:BA17"/>
    <mergeCell ref="BB16:BC17"/>
    <mergeCell ref="BD16:BD17"/>
    <mergeCell ref="BE16:BE17"/>
    <mergeCell ref="BF16:BF17"/>
    <mergeCell ref="BG16:BG17"/>
    <mergeCell ref="BA19:BA20"/>
    <mergeCell ref="BB19:BC20"/>
    <mergeCell ref="BD19:BD20"/>
    <mergeCell ref="BE19:BE20"/>
    <mergeCell ref="BF19:BF20"/>
    <mergeCell ref="BG19:BG20"/>
    <mergeCell ref="BA22:BA23"/>
    <mergeCell ref="BB22:BC23"/>
    <mergeCell ref="BD22:BD23"/>
    <mergeCell ref="BE22:BE23"/>
    <mergeCell ref="BF22:BF23"/>
    <mergeCell ref="BG22:BG23"/>
    <mergeCell ref="BA25:BA26"/>
    <mergeCell ref="BB25:BC26"/>
    <mergeCell ref="BD25:BD26"/>
    <mergeCell ref="BE25:BE26"/>
    <mergeCell ref="BF25:BF26"/>
    <mergeCell ref="BG25:BG26"/>
    <mergeCell ref="BA28:BA29"/>
    <mergeCell ref="BB28:BB29"/>
    <mergeCell ref="BC28:BC29"/>
    <mergeCell ref="BD28:BD29"/>
    <mergeCell ref="BE28:BE29"/>
    <mergeCell ref="BF28:BF29"/>
    <mergeCell ref="BG28:BG29"/>
    <mergeCell ref="BI9:BK11"/>
    <mergeCell ref="BL9:BN11"/>
    <mergeCell ref="BI13:BI14"/>
    <mergeCell ref="BJ13:BK14"/>
    <mergeCell ref="BL13:BL14"/>
    <mergeCell ref="BM13:BM14"/>
    <mergeCell ref="BN13:BN14"/>
    <mergeCell ref="BO13:BO14"/>
    <mergeCell ref="BI16:BI17"/>
    <mergeCell ref="BJ16:BK17"/>
    <mergeCell ref="BL16:BL17"/>
    <mergeCell ref="BM16:BM17"/>
    <mergeCell ref="BN16:BN17"/>
    <mergeCell ref="BO16:BO17"/>
    <mergeCell ref="BI19:BI20"/>
    <mergeCell ref="BJ19:BK20"/>
    <mergeCell ref="BL19:BL20"/>
    <mergeCell ref="BM19:BM20"/>
    <mergeCell ref="BN19:BN20"/>
    <mergeCell ref="BO19:BO20"/>
    <mergeCell ref="BI22:BI23"/>
    <mergeCell ref="BJ22:BK23"/>
    <mergeCell ref="BL22:BL23"/>
    <mergeCell ref="BM22:BM23"/>
    <mergeCell ref="BN22:BN23"/>
    <mergeCell ref="BO22:BO23"/>
    <mergeCell ref="BI25:BI26"/>
    <mergeCell ref="BJ25:BK26"/>
    <mergeCell ref="BL25:BL26"/>
    <mergeCell ref="BM25:BM26"/>
    <mergeCell ref="BN25:BN26"/>
    <mergeCell ref="BO25:BO26"/>
    <mergeCell ref="BI28:BI29"/>
    <mergeCell ref="BJ28:BJ29"/>
    <mergeCell ref="BK28:BK29"/>
    <mergeCell ref="BL28:BL29"/>
    <mergeCell ref="BM28:BM29"/>
    <mergeCell ref="BN28:BN29"/>
    <mergeCell ref="BO28:BO29"/>
    <mergeCell ref="BQ9:BS11"/>
    <mergeCell ref="BT9:BV11"/>
    <mergeCell ref="BQ13:BQ14"/>
    <mergeCell ref="BR13:BS14"/>
    <mergeCell ref="BT13:BT14"/>
    <mergeCell ref="BU13:BU14"/>
    <mergeCell ref="BV13:BV14"/>
    <mergeCell ref="BW13:BW14"/>
    <mergeCell ref="BQ16:BQ17"/>
    <mergeCell ref="BR16:BS17"/>
    <mergeCell ref="BT16:BT17"/>
    <mergeCell ref="BU16:BU17"/>
    <mergeCell ref="BV16:BV17"/>
    <mergeCell ref="BW16:BW17"/>
    <mergeCell ref="BQ19:BQ20"/>
    <mergeCell ref="BR19:BS20"/>
    <mergeCell ref="BT19:BT20"/>
    <mergeCell ref="BU19:BU20"/>
    <mergeCell ref="BV19:BV20"/>
    <mergeCell ref="BW19:BW20"/>
    <mergeCell ref="BQ22:BQ23"/>
    <mergeCell ref="BR22:BS23"/>
    <mergeCell ref="BT22:BT23"/>
    <mergeCell ref="BU22:BU23"/>
    <mergeCell ref="BV22:BV23"/>
    <mergeCell ref="BW22:BW23"/>
    <mergeCell ref="BQ25:BQ26"/>
    <mergeCell ref="BR25:BS26"/>
    <mergeCell ref="BT25:BT26"/>
    <mergeCell ref="BU25:BU26"/>
    <mergeCell ref="BV25:BV26"/>
    <mergeCell ref="BW25:BW26"/>
    <mergeCell ref="BQ28:BQ29"/>
    <mergeCell ref="BR28:BR29"/>
    <mergeCell ref="BS28:BS29"/>
    <mergeCell ref="BT28:BT29"/>
    <mergeCell ref="BU28:BU29"/>
    <mergeCell ref="BV28:BV29"/>
    <mergeCell ref="BW28:BW29"/>
    <mergeCell ref="BY9:CA11"/>
    <mergeCell ref="CB9:CD11"/>
    <mergeCell ref="BY13:BY14"/>
    <mergeCell ref="BZ13:CA14"/>
    <mergeCell ref="CB13:CB14"/>
    <mergeCell ref="CC13:CC14"/>
    <mergeCell ref="CD13:CD14"/>
    <mergeCell ref="CE13:CE14"/>
    <mergeCell ref="BY16:BY17"/>
    <mergeCell ref="BZ16:CA17"/>
    <mergeCell ref="CB16:CB17"/>
    <mergeCell ref="CC16:CC17"/>
    <mergeCell ref="CD16:CD17"/>
    <mergeCell ref="CE16:CE17"/>
    <mergeCell ref="BY19:BY20"/>
    <mergeCell ref="BZ19:CA20"/>
    <mergeCell ref="CB19:CB20"/>
    <mergeCell ref="CC19:CC20"/>
    <mergeCell ref="CD19:CD20"/>
    <mergeCell ref="CE19:CE20"/>
    <mergeCell ref="BY22:BY23"/>
    <mergeCell ref="BZ22:CA23"/>
    <mergeCell ref="CB22:CB23"/>
    <mergeCell ref="CC22:CC23"/>
    <mergeCell ref="CD22:CD23"/>
    <mergeCell ref="CE22:CE23"/>
    <mergeCell ref="BY25:BY26"/>
    <mergeCell ref="BZ25:CA26"/>
    <mergeCell ref="CB25:CB26"/>
    <mergeCell ref="CC25:CC26"/>
    <mergeCell ref="CD25:CD26"/>
    <mergeCell ref="CE25:CE26"/>
    <mergeCell ref="BY28:BY29"/>
    <mergeCell ref="BZ28:BZ29"/>
    <mergeCell ref="CA28:CA29"/>
    <mergeCell ref="CB28:CB29"/>
    <mergeCell ref="CC28:CC29"/>
    <mergeCell ref="CD28:CD29"/>
    <mergeCell ref="CE28:CE29"/>
  </mergeCells>
  <pageMargins left="0.7" right="0.7" top="0.75" bottom="0.75" header="0.3" footer="0.3"/>
  <pageSetup paperSize="9" scale="1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7921-E4F8-4C4B-B6BE-E2869A0A7733}">
  <dimension ref="B2:K43"/>
  <sheetViews>
    <sheetView showGridLines="0" zoomScale="55" zoomScaleNormal="55" workbookViewId="0">
      <selection activeCell="C5" sqref="C5"/>
    </sheetView>
  </sheetViews>
  <sheetFormatPr defaultColWidth="11.42578125" defaultRowHeight="14.45"/>
  <cols>
    <col min="1" max="1" width="2.85546875" customWidth="1"/>
    <col min="2" max="2" width="9.140625" customWidth="1"/>
    <col min="3" max="3" width="59.42578125" customWidth="1"/>
    <col min="8" max="8" width="11.42578125" customWidth="1"/>
    <col min="9" max="9" width="31.28515625" bestFit="1" customWidth="1"/>
    <col min="11" max="11" width="16.7109375" customWidth="1"/>
  </cols>
  <sheetData>
    <row r="2" spans="2:11" ht="27.6" customHeight="1">
      <c r="B2" s="96" t="s">
        <v>44</v>
      </c>
      <c r="C2" s="96"/>
      <c r="D2" s="96"/>
      <c r="E2" s="96"/>
      <c r="F2" s="96"/>
      <c r="G2" s="96"/>
      <c r="H2" s="96"/>
      <c r="I2" s="96"/>
      <c r="J2" s="96"/>
      <c r="K2" s="96"/>
    </row>
    <row r="3" spans="2:11" ht="0.95" customHeight="1">
      <c r="E3" s="124"/>
      <c r="F3" s="124"/>
    </row>
    <row r="4" spans="2:11" s="1" customFormat="1">
      <c r="B4" s="38" t="s">
        <v>45</v>
      </c>
      <c r="C4" s="38" t="s">
        <v>46</v>
      </c>
      <c r="D4" s="125" t="s">
        <v>47</v>
      </c>
      <c r="E4" s="125"/>
      <c r="F4" s="125"/>
      <c r="G4" s="125"/>
      <c r="H4" s="126"/>
      <c r="I4" s="39" t="s">
        <v>48</v>
      </c>
      <c r="J4" s="127" t="s">
        <v>49</v>
      </c>
      <c r="K4" s="128"/>
    </row>
    <row r="5" spans="2:11" ht="36.950000000000003" customHeight="1">
      <c r="B5" s="38">
        <v>1</v>
      </c>
      <c r="C5" s="36"/>
      <c r="D5" s="129"/>
      <c r="E5" s="130"/>
      <c r="F5" s="130"/>
      <c r="G5" s="130"/>
      <c r="H5" s="131"/>
      <c r="I5" s="41"/>
      <c r="J5" s="132"/>
      <c r="K5" s="133"/>
    </row>
    <row r="6" spans="2:11" ht="36.950000000000003" customHeight="1">
      <c r="B6" s="38">
        <v>2</v>
      </c>
      <c r="C6" s="40"/>
      <c r="D6" s="129"/>
      <c r="E6" s="130"/>
      <c r="F6" s="130"/>
      <c r="G6" s="130"/>
      <c r="H6" s="131"/>
      <c r="I6" s="41"/>
      <c r="J6" s="132"/>
      <c r="K6" s="133"/>
    </row>
    <row r="7" spans="2:11" ht="36.950000000000003" customHeight="1">
      <c r="B7" s="38">
        <v>3</v>
      </c>
      <c r="C7" s="40"/>
      <c r="D7" s="129"/>
      <c r="E7" s="130"/>
      <c r="F7" s="130"/>
      <c r="G7" s="130"/>
      <c r="H7" s="131"/>
      <c r="I7" s="41"/>
      <c r="J7" s="132"/>
      <c r="K7" s="133"/>
    </row>
    <row r="8" spans="2:11" ht="36.950000000000003" customHeight="1">
      <c r="B8" s="38">
        <v>4</v>
      </c>
      <c r="C8" s="40"/>
      <c r="D8" s="129"/>
      <c r="E8" s="130"/>
      <c r="F8" s="130"/>
      <c r="G8" s="130"/>
      <c r="H8" s="131"/>
      <c r="I8" s="41"/>
      <c r="J8" s="132"/>
      <c r="K8" s="133"/>
    </row>
    <row r="9" spans="2:11" ht="36.950000000000003" customHeight="1">
      <c r="B9" s="38">
        <v>5</v>
      </c>
      <c r="C9" s="40"/>
      <c r="D9" s="129"/>
      <c r="E9" s="130"/>
      <c r="F9" s="130"/>
      <c r="G9" s="130"/>
      <c r="H9" s="131"/>
      <c r="I9" s="41"/>
      <c r="J9" s="132"/>
      <c r="K9" s="133"/>
    </row>
    <row r="10" spans="2:11" ht="36.950000000000003" customHeight="1">
      <c r="B10" s="38">
        <v>6</v>
      </c>
      <c r="C10" s="40"/>
      <c r="D10" s="62"/>
      <c r="E10" s="63"/>
      <c r="F10" s="63"/>
      <c r="G10" s="63"/>
      <c r="H10" s="64"/>
      <c r="I10" s="41"/>
      <c r="J10" s="65"/>
      <c r="K10" s="66"/>
    </row>
    <row r="11" spans="2:11" ht="36.950000000000003" customHeight="1">
      <c r="B11" s="38">
        <v>7</v>
      </c>
      <c r="C11" s="40"/>
      <c r="D11" s="62"/>
      <c r="E11" s="63"/>
      <c r="F11" s="63"/>
      <c r="G11" s="63"/>
      <c r="H11" s="64"/>
      <c r="I11" s="41"/>
      <c r="J11" s="65"/>
      <c r="K11" s="66"/>
    </row>
    <row r="12" spans="2:11" ht="36.950000000000003" customHeight="1">
      <c r="B12" s="38">
        <v>8</v>
      </c>
      <c r="C12" s="40"/>
      <c r="D12" s="62"/>
      <c r="E12" s="63"/>
      <c r="F12" s="63"/>
      <c r="G12" s="63"/>
      <c r="H12" s="64"/>
      <c r="I12" s="41"/>
      <c r="J12" s="65"/>
      <c r="K12" s="66"/>
    </row>
    <row r="13" spans="2:11" ht="36.950000000000003" customHeight="1">
      <c r="B13" s="38">
        <v>9</v>
      </c>
      <c r="C13" s="40"/>
      <c r="D13" s="62"/>
      <c r="E13" s="63"/>
      <c r="F13" s="63"/>
      <c r="G13" s="63"/>
      <c r="H13" s="64"/>
      <c r="I13" s="41"/>
      <c r="J13" s="65"/>
      <c r="K13" s="66"/>
    </row>
    <row r="14" spans="2:11" ht="36.950000000000003" customHeight="1">
      <c r="B14" s="38">
        <v>10</v>
      </c>
      <c r="C14" s="40"/>
      <c r="D14" s="129"/>
      <c r="E14" s="130"/>
      <c r="F14" s="130"/>
      <c r="G14" s="130"/>
      <c r="H14" s="131"/>
      <c r="I14" s="41"/>
      <c r="J14" s="132"/>
      <c r="K14" s="133"/>
    </row>
    <row r="15" spans="2:11" ht="14.65" customHeight="1">
      <c r="I15" s="12"/>
    </row>
    <row r="17" spans="2:11" ht="26.45" customHeight="1">
      <c r="B17" s="96" t="s">
        <v>50</v>
      </c>
      <c r="C17" s="96"/>
      <c r="D17" s="96"/>
      <c r="E17" s="96"/>
      <c r="F17" s="96"/>
      <c r="G17" s="96"/>
      <c r="H17" s="96"/>
      <c r="I17" s="96"/>
      <c r="J17" s="96"/>
      <c r="K17" s="96"/>
    </row>
    <row r="18" spans="2:11" hidden="1"/>
    <row r="19" spans="2:11">
      <c r="B19" s="38" t="s">
        <v>45</v>
      </c>
      <c r="C19" s="38" t="s">
        <v>46</v>
      </c>
      <c r="D19" s="125" t="s">
        <v>47</v>
      </c>
      <c r="E19" s="125"/>
      <c r="F19" s="125"/>
      <c r="G19" s="125"/>
      <c r="H19" s="126"/>
      <c r="I19" s="39" t="s">
        <v>48</v>
      </c>
      <c r="J19" s="127" t="s">
        <v>49</v>
      </c>
      <c r="K19" s="128"/>
    </row>
    <row r="20" spans="2:11" ht="36.950000000000003" customHeight="1">
      <c r="B20" s="38">
        <v>1</v>
      </c>
      <c r="C20" s="36"/>
      <c r="D20" s="123"/>
      <c r="E20" s="123"/>
      <c r="F20" s="123"/>
      <c r="G20" s="123"/>
      <c r="H20" s="123"/>
      <c r="I20" s="41"/>
      <c r="J20" s="120"/>
      <c r="K20" s="120"/>
    </row>
    <row r="21" spans="2:11" ht="36.950000000000003" customHeight="1">
      <c r="B21" s="38">
        <v>2</v>
      </c>
      <c r="C21" s="42"/>
      <c r="D21" s="118"/>
      <c r="E21" s="119"/>
      <c r="F21" s="119"/>
      <c r="G21" s="119"/>
      <c r="H21" s="119"/>
      <c r="I21" s="41"/>
      <c r="J21" s="120"/>
      <c r="K21" s="120"/>
    </row>
    <row r="22" spans="2:11" s="1" customFormat="1" ht="36.950000000000003" customHeight="1">
      <c r="B22" s="38">
        <v>3</v>
      </c>
      <c r="C22" s="42"/>
      <c r="D22" s="121"/>
      <c r="E22" s="121"/>
      <c r="F22" s="121"/>
      <c r="G22" s="121"/>
      <c r="H22" s="122"/>
      <c r="I22" s="41"/>
      <c r="J22" s="120"/>
      <c r="K22" s="120"/>
    </row>
    <row r="23" spans="2:11" ht="36.950000000000003" customHeight="1">
      <c r="B23" s="38">
        <v>4</v>
      </c>
      <c r="C23" s="42"/>
      <c r="D23" s="123"/>
      <c r="E23" s="123"/>
      <c r="F23" s="123"/>
      <c r="G23" s="123"/>
      <c r="H23" s="123"/>
      <c r="I23" s="41"/>
      <c r="J23" s="120"/>
      <c r="K23" s="120"/>
    </row>
    <row r="24" spans="2:11" ht="36.950000000000003" customHeight="1">
      <c r="B24" s="38">
        <v>5</v>
      </c>
      <c r="C24" s="42"/>
      <c r="D24" s="118"/>
      <c r="E24" s="119"/>
      <c r="F24" s="119"/>
      <c r="G24" s="119"/>
      <c r="H24" s="119"/>
      <c r="I24" s="41"/>
      <c r="J24" s="120"/>
      <c r="K24" s="120"/>
    </row>
    <row r="25" spans="2:11" ht="36.950000000000003" customHeight="1">
      <c r="B25" s="38">
        <v>6</v>
      </c>
      <c r="C25" s="42"/>
      <c r="D25" s="121"/>
      <c r="E25" s="121"/>
      <c r="F25" s="121"/>
      <c r="G25" s="121"/>
      <c r="H25" s="122"/>
      <c r="I25" s="41"/>
      <c r="J25" s="120"/>
      <c r="K25" s="120"/>
    </row>
    <row r="26" spans="2:11" s="1" customFormat="1" ht="36.950000000000003" customHeight="1">
      <c r="B26" s="38">
        <v>7</v>
      </c>
      <c r="C26" s="42"/>
      <c r="D26" s="121"/>
      <c r="E26" s="121"/>
      <c r="F26" s="121"/>
      <c r="G26" s="121"/>
      <c r="H26" s="122"/>
      <c r="I26" s="41"/>
      <c r="J26" s="120"/>
      <c r="K26" s="120"/>
    </row>
    <row r="27" spans="2:11" ht="36.950000000000003" customHeight="1">
      <c r="B27" s="38">
        <v>8</v>
      </c>
      <c r="C27" s="42"/>
      <c r="D27" s="123"/>
      <c r="E27" s="123"/>
      <c r="F27" s="123"/>
      <c r="G27" s="123"/>
      <c r="H27" s="123"/>
      <c r="I27" s="41"/>
      <c r="J27" s="120"/>
      <c r="K27" s="120"/>
    </row>
    <row r="28" spans="2:11" ht="36.950000000000003" customHeight="1">
      <c r="B28" s="38">
        <v>9</v>
      </c>
      <c r="C28" s="42"/>
      <c r="D28" s="118"/>
      <c r="E28" s="119"/>
      <c r="F28" s="119"/>
      <c r="G28" s="119"/>
      <c r="H28" s="119"/>
      <c r="I28" s="41"/>
      <c r="J28" s="120"/>
      <c r="K28" s="120"/>
    </row>
    <row r="29" spans="2:11" ht="36.950000000000003" customHeight="1">
      <c r="B29" s="38">
        <v>10</v>
      </c>
      <c r="C29" s="42"/>
      <c r="D29" s="121"/>
      <c r="E29" s="121"/>
      <c r="F29" s="121"/>
      <c r="G29" s="121"/>
      <c r="H29" s="122"/>
      <c r="I29" s="41"/>
      <c r="J29" s="120"/>
      <c r="K29" s="120"/>
    </row>
    <row r="32" spans="2:11" s="1" customFormat="1"/>
    <row r="37" s="1" customFormat="1"/>
    <row r="43" ht="31.15" customHeight="1"/>
  </sheetData>
  <mergeCells count="39">
    <mergeCell ref="J25:K25"/>
    <mergeCell ref="D23:H23"/>
    <mergeCell ref="D24:H24"/>
    <mergeCell ref="D25:H25"/>
    <mergeCell ref="D8:H8"/>
    <mergeCell ref="D9:H9"/>
    <mergeCell ref="D14:H14"/>
    <mergeCell ref="J8:K8"/>
    <mergeCell ref="J9:K9"/>
    <mergeCell ref="J14:K14"/>
    <mergeCell ref="D19:H19"/>
    <mergeCell ref="J19:K19"/>
    <mergeCell ref="D20:H20"/>
    <mergeCell ref="J20:K20"/>
    <mergeCell ref="D21:H21"/>
    <mergeCell ref="J21:K21"/>
    <mergeCell ref="D22:H22"/>
    <mergeCell ref="J22:K22"/>
    <mergeCell ref="J23:K23"/>
    <mergeCell ref="J24:K24"/>
    <mergeCell ref="B2:K2"/>
    <mergeCell ref="E3:F3"/>
    <mergeCell ref="D4:H4"/>
    <mergeCell ref="J4:K4"/>
    <mergeCell ref="D5:H5"/>
    <mergeCell ref="J5:K5"/>
    <mergeCell ref="J6:K6"/>
    <mergeCell ref="D7:H7"/>
    <mergeCell ref="J7:K7"/>
    <mergeCell ref="D6:H6"/>
    <mergeCell ref="B17:K17"/>
    <mergeCell ref="D28:H28"/>
    <mergeCell ref="J28:K28"/>
    <mergeCell ref="D29:H29"/>
    <mergeCell ref="J29:K29"/>
    <mergeCell ref="D26:H26"/>
    <mergeCell ref="J26:K26"/>
    <mergeCell ref="D27:H27"/>
    <mergeCell ref="J27:K2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E482-CDCE-41D0-9662-8381CA1ADA48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8590-F71A-4B68-AED2-7807C52F226F}">
  <dimension ref="A1:A4"/>
  <sheetViews>
    <sheetView workbookViewId="0">
      <selection activeCell="B11" sqref="B11"/>
    </sheetView>
  </sheetViews>
  <sheetFormatPr defaultColWidth="11.42578125" defaultRowHeight="14.45"/>
  <sheetData>
    <row r="1" spans="1:1">
      <c r="A1" s="4">
        <v>1</v>
      </c>
    </row>
    <row r="2" spans="1:1">
      <c r="A2" s="4">
        <v>2</v>
      </c>
    </row>
    <row r="3" spans="1:1">
      <c r="A3" s="4">
        <v>3</v>
      </c>
    </row>
    <row r="4" spans="1:1">
      <c r="A4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dd1e0b-5267-470b-acea-8e55b9f41d8e" xsi:nil="true"/>
    <lcf76f155ced4ddcb4097134ff3c332f xmlns="229e0a11-3848-49fd-8c6a-81e88ac0887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A925EF3109D14BBF07652984DC743A" ma:contentTypeVersion="17" ma:contentTypeDescription="Create a new document." ma:contentTypeScope="" ma:versionID="4507b76a8fd88c74c4565958ce511007">
  <xsd:schema xmlns:xsd="http://www.w3.org/2001/XMLSchema" xmlns:xs="http://www.w3.org/2001/XMLSchema" xmlns:p="http://schemas.microsoft.com/office/2006/metadata/properties" xmlns:ns2="229e0a11-3848-49fd-8c6a-81e88ac08879" xmlns:ns3="39dd1e0b-5267-470b-acea-8e55b9f41d8e" targetNamespace="http://schemas.microsoft.com/office/2006/metadata/properties" ma:root="true" ma:fieldsID="2a80990633c317971b5d99b0e02dfecd" ns2:_="" ns3:_="">
    <xsd:import namespace="229e0a11-3848-49fd-8c6a-81e88ac08879"/>
    <xsd:import namespace="39dd1e0b-5267-470b-acea-8e55b9f41d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e0a11-3848-49fd-8c6a-81e88ac08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0" nillable="true" ma:taxonomy="true" ma:internalName="lcf76f155ced4ddcb4097134ff3c332f" ma:taxonomyFieldName="MediaServiceImageTags" ma:displayName="Image Tags" ma:readOnly="false" ma:fieldId="{5cf76f15-5ced-4ddc-b409-7134ff3c332f}" ma:taxonomyMulti="true" ma:sspId="25a390ff-bb44-41ab-883e-bb6999e3d7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d1e0b-5267-470b-acea-8e55b9f41d8e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7cd2ebdb-72a5-4439-aff3-15631ecda4b4}" ma:internalName="TaxCatchAll" ma:showField="CatchAllData" ma:web="39dd1e0b-5267-470b-acea-8e55b9f41d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724067-621F-4221-8D1F-59E25FFEB0B4}"/>
</file>

<file path=customXml/itemProps2.xml><?xml version="1.0" encoding="utf-8"?>
<ds:datastoreItem xmlns:ds="http://schemas.openxmlformats.org/officeDocument/2006/customXml" ds:itemID="{68924A2A-13BD-4E57-9245-C4DD19870718}"/>
</file>

<file path=customXml/itemProps3.xml><?xml version="1.0" encoding="utf-8"?>
<ds:datastoreItem xmlns:ds="http://schemas.openxmlformats.org/officeDocument/2006/customXml" ds:itemID="{83AA7605-6139-4255-8A2D-2829708622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Dayan Valadez Zenteno</dc:creator>
  <cp:keywords/>
  <dc:description/>
  <cp:lastModifiedBy>Carolina Arevalo</cp:lastModifiedBy>
  <cp:revision/>
  <dcterms:created xsi:type="dcterms:W3CDTF">2025-08-19T18:17:13Z</dcterms:created>
  <dcterms:modified xsi:type="dcterms:W3CDTF">2026-08-26T19:35:31Z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0x0101004FA925EF3109D14BBF07652984DC743A</vt:lpwstr>
  </property>
  <property fmtid="{D5CDD505-2E9C-101B-9397-08002B2CF9AE}" pid="3" name="MediaServiceImageTags">
    <vt:lpwstr/>
  </property>
</Properties>
</file>