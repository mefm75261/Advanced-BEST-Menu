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rvargas\Downloads\"/>
    </mc:Choice>
  </mc:AlternateContent>
  <xr:revisionPtr revIDLastSave="0" documentId="8_{470133B2-D671-47D1-9AD8-CC0163ABB8D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ssessment" sheetId="2" r:id="rId1"/>
    <sheet name="Dashboard" sheetId="3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2" i="2" l="1"/>
  <c r="F152" i="2" s="1"/>
  <c r="E137" i="2"/>
  <c r="F137" i="2" s="1"/>
  <c r="E122" i="2"/>
  <c r="C12" i="3" s="1"/>
  <c r="E107" i="2"/>
  <c r="C11" i="3" s="1"/>
  <c r="E92" i="2"/>
  <c r="C10" i="3" s="1"/>
  <c r="E77" i="2"/>
  <c r="F77" i="2" s="1"/>
  <c r="E62" i="2"/>
  <c r="F62" i="2" s="1"/>
  <c r="E47" i="2"/>
  <c r="C7" i="3" s="1"/>
  <c r="E32" i="2"/>
  <c r="F32" i="2" s="1"/>
  <c r="E17" i="2"/>
  <c r="F17" i="2" s="1"/>
  <c r="D7" i="3" l="1"/>
  <c r="E7" i="3"/>
  <c r="E12" i="3"/>
  <c r="D12" i="3"/>
  <c r="E10" i="3"/>
  <c r="D10" i="3"/>
  <c r="E11" i="3"/>
  <c r="D11" i="3"/>
  <c r="C5" i="3"/>
  <c r="C13" i="3"/>
  <c r="F47" i="2"/>
  <c r="F107" i="2"/>
  <c r="C8" i="3"/>
  <c r="F122" i="2"/>
  <c r="C6" i="3"/>
  <c r="C14" i="3"/>
  <c r="C9" i="3"/>
  <c r="F92" i="2"/>
  <c r="E14" i="3" l="1"/>
  <c r="D14" i="3"/>
  <c r="E6" i="3"/>
  <c r="D6" i="3"/>
  <c r="E13" i="3"/>
  <c r="D13" i="3"/>
  <c r="E8" i="3"/>
  <c r="D8" i="3"/>
  <c r="E9" i="3"/>
  <c r="D9" i="3"/>
  <c r="C15" i="3"/>
  <c r="D15" i="3" s="1"/>
  <c r="E5" i="3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100-000001000000}">
      <text>
        <r>
          <rPr>
            <sz val="10"/>
            <rFont val="Arial"/>
            <family val="2"/>
          </rPr>
          <t>Triangulate with: Terminal Director, OpEx Lead, Frontline supervisors</t>
        </r>
      </text>
    </comment>
    <comment ref="B8" authorId="0" shapeId="0" xr:uid="{00000000-0006-0000-0100-000002000000}">
      <text>
        <r>
          <rPr>
            <sz val="10"/>
            <rFont val="Arial"/>
            <family val="2"/>
          </rPr>
          <t>Triangulate with: Terminal Director, Dept Managers</t>
        </r>
      </text>
    </comment>
    <comment ref="B9" authorId="0" shapeId="0" xr:uid="{00000000-0006-0000-0100-000003000000}">
      <text>
        <r>
          <rPr>
            <sz val="10"/>
            <rFont val="Arial"/>
            <family val="2"/>
          </rPr>
          <t>Triangulate with: Supervisors, Frontline staff</t>
        </r>
      </text>
    </comment>
    <comment ref="B10" authorId="0" shapeId="0" xr:uid="{00000000-0006-0000-0100-000004000000}">
      <text>
        <r>
          <rPr>
            <sz val="10"/>
            <rFont val="Arial"/>
            <family val="2"/>
          </rPr>
          <t>Triangulate with: Terminal Director, OpEx Lead</t>
        </r>
      </text>
    </comment>
    <comment ref="B11" authorId="0" shapeId="0" xr:uid="{00000000-0006-0000-0100-000005000000}">
      <text>
        <r>
          <rPr>
            <sz val="10"/>
            <rFont val="Arial"/>
            <family val="2"/>
          </rPr>
          <t>Triangulate with: Terminal Director, Finance/HR</t>
        </r>
      </text>
    </comment>
    <comment ref="B12" authorId="0" shapeId="0" xr:uid="{00000000-0006-0000-0100-000006000000}">
      <text>
        <r>
          <rPr>
            <sz val="10"/>
            <rFont val="Arial"/>
            <family val="2"/>
          </rPr>
          <t>Triangulate with: HR, Dept Managers</t>
        </r>
      </text>
    </comment>
    <comment ref="B13" authorId="0" shapeId="0" xr:uid="{00000000-0006-0000-0100-000007000000}">
      <text>
        <r>
          <rPr>
            <sz val="10"/>
            <rFont val="Arial"/>
            <family val="2"/>
          </rPr>
          <t>Triangulate with: Supervisors, Frontline staff</t>
        </r>
      </text>
    </comment>
    <comment ref="B14" authorId="0" shapeId="0" xr:uid="{00000000-0006-0000-0100-000008000000}">
      <text>
        <r>
          <rPr>
            <sz val="10"/>
            <rFont val="Arial"/>
            <family val="2"/>
          </rPr>
          <t>Triangulate with: Regional, Terminal, Frontline</t>
        </r>
      </text>
    </comment>
    <comment ref="B15" authorId="0" shapeId="0" xr:uid="{00000000-0006-0000-0100-000009000000}">
      <text>
        <r>
          <rPr>
            <sz val="10"/>
            <rFont val="Arial"/>
            <family val="2"/>
          </rPr>
          <t>Triangulate with: Frontline staff, Supervisors</t>
        </r>
      </text>
    </comment>
    <comment ref="B16" authorId="0" shapeId="0" xr:uid="{00000000-0006-0000-0100-00000A000000}">
      <text>
        <r>
          <rPr>
            <sz val="10"/>
            <rFont val="Arial"/>
            <family val="2"/>
          </rPr>
          <t>Triangulate with: Frontline staff</t>
        </r>
      </text>
    </comment>
    <comment ref="B22" authorId="0" shapeId="0" xr:uid="{00000000-0006-0000-0100-00000B000000}">
      <text>
        <r>
          <rPr>
            <sz val="10"/>
            <rFont val="Arial"/>
            <family val="2"/>
          </rPr>
          <t>Triangulate with: Strategy Office, Terminal Mgmt</t>
        </r>
      </text>
    </comment>
    <comment ref="B23" authorId="0" shapeId="0" xr:uid="{00000000-0006-0000-0100-00000C000000}">
      <text>
        <r>
          <rPr>
            <sz val="10"/>
            <rFont val="Arial"/>
            <family val="2"/>
          </rPr>
          <t>Triangulate with: Terminal Mgmt, OpEx</t>
        </r>
      </text>
    </comment>
    <comment ref="B24" authorId="0" shapeId="0" xr:uid="{00000000-0006-0000-0100-00000D000000}">
      <text>
        <r>
          <rPr>
            <sz val="10"/>
            <rFont val="Arial"/>
            <family val="2"/>
          </rPr>
          <t>Triangulate with: Team leaders, OpEx</t>
        </r>
      </text>
    </comment>
    <comment ref="B25" authorId="0" shapeId="0" xr:uid="{00000000-0006-0000-0100-00000E000000}">
      <text>
        <r>
          <rPr>
            <sz val="10"/>
            <rFont val="Arial"/>
            <family val="2"/>
          </rPr>
          <t>Triangulate with: All tiers</t>
        </r>
      </text>
    </comment>
    <comment ref="B26" authorId="0" shapeId="0" xr:uid="{00000000-0006-0000-0100-00000F000000}">
      <text>
        <r>
          <rPr>
            <sz val="10"/>
            <rFont val="Arial"/>
            <family val="2"/>
          </rPr>
          <t>Triangulate with: Frontline staff</t>
        </r>
      </text>
    </comment>
    <comment ref="B27" authorId="0" shapeId="0" xr:uid="{00000000-0006-0000-0100-000010000000}">
      <text>
        <r>
          <rPr>
            <sz val="10"/>
            <rFont val="Arial"/>
            <family val="2"/>
          </rPr>
          <t>Triangulate with: Terminal Mgmt</t>
        </r>
      </text>
    </comment>
    <comment ref="B28" authorId="0" shapeId="0" xr:uid="{00000000-0006-0000-0100-000011000000}">
      <text>
        <r>
          <rPr>
            <sz val="10"/>
            <rFont val="Arial"/>
            <family val="2"/>
          </rPr>
          <t>Triangulate with: Terminal Mgmt, OpEx</t>
        </r>
      </text>
    </comment>
    <comment ref="B29" authorId="0" shapeId="0" xr:uid="{00000000-0006-0000-0100-000012000000}">
      <text>
        <r>
          <rPr>
            <sz val="10"/>
            <rFont val="Arial"/>
            <family val="2"/>
          </rPr>
          <t>Triangulate with: Terminal Mgmt, Finance</t>
        </r>
      </text>
    </comment>
    <comment ref="B30" authorId="0" shapeId="0" xr:uid="{00000000-0006-0000-0100-000013000000}">
      <text>
        <r>
          <rPr>
            <sz val="10"/>
            <rFont val="Arial"/>
            <family val="2"/>
          </rPr>
          <t>Triangulate with: Strategy Office, Terminal Mgmt</t>
        </r>
      </text>
    </comment>
    <comment ref="B31" authorId="0" shapeId="0" xr:uid="{00000000-0006-0000-0100-000014000000}">
      <text>
        <r>
          <rPr>
            <sz val="10"/>
            <rFont val="Arial"/>
            <family val="2"/>
          </rPr>
          <t>Triangulate with: Regional, Terminal</t>
        </r>
      </text>
    </comment>
    <comment ref="B37" authorId="0" shapeId="0" xr:uid="{00000000-0006-0000-0100-000015000000}">
      <text>
        <r>
          <rPr>
            <sz val="10"/>
            <rFont val="Arial"/>
            <family val="2"/>
          </rPr>
          <t>Triangulate with: Supervisors, Team leaders</t>
        </r>
      </text>
    </comment>
    <comment ref="B38" authorId="0" shapeId="0" xr:uid="{00000000-0006-0000-0100-000016000000}">
      <text>
        <r>
          <rPr>
            <sz val="10"/>
            <rFont val="Arial"/>
            <family val="2"/>
          </rPr>
          <t>Triangulate with: Team leaders, Frontline</t>
        </r>
      </text>
    </comment>
    <comment ref="B39" authorId="0" shapeId="0" xr:uid="{00000000-0006-0000-0100-000017000000}">
      <text>
        <r>
          <rPr>
            <sz val="10"/>
            <rFont val="Arial"/>
            <family val="2"/>
          </rPr>
          <t>Triangulate with: Supervisors</t>
        </r>
      </text>
    </comment>
    <comment ref="B40" authorId="0" shapeId="0" xr:uid="{00000000-0006-0000-0100-000018000000}">
      <text>
        <r>
          <rPr>
            <sz val="10"/>
            <rFont val="Arial"/>
            <family val="2"/>
          </rPr>
          <t>Triangulate with: Supervisors, Area Managers</t>
        </r>
      </text>
    </comment>
    <comment ref="B41" authorId="0" shapeId="0" xr:uid="{00000000-0006-0000-0100-000019000000}">
      <text>
        <r>
          <rPr>
            <sz val="10"/>
            <rFont val="Arial"/>
            <family val="2"/>
          </rPr>
          <t>Triangulate with: Team leaders</t>
        </r>
      </text>
    </comment>
    <comment ref="B42" authorId="0" shapeId="0" xr:uid="{00000000-0006-0000-0100-00001A000000}">
      <text>
        <r>
          <rPr>
            <sz val="10"/>
            <rFont val="Arial"/>
            <family val="2"/>
          </rPr>
          <t>Triangulate with: Supervisors, Frontline</t>
        </r>
      </text>
    </comment>
    <comment ref="B43" authorId="0" shapeId="0" xr:uid="{00000000-0006-0000-0100-00001B000000}">
      <text>
        <r>
          <rPr>
            <sz val="10"/>
            <rFont val="Arial"/>
            <family val="2"/>
          </rPr>
          <t>Triangulate with: Frontline, Supervisors</t>
        </r>
      </text>
    </comment>
    <comment ref="B44" authorId="0" shapeId="0" xr:uid="{00000000-0006-0000-0100-00001C000000}">
      <text>
        <r>
          <rPr>
            <sz val="10"/>
            <rFont val="Arial"/>
            <family val="2"/>
          </rPr>
          <t>Triangulate with: Area Managers, OpEx</t>
        </r>
      </text>
    </comment>
    <comment ref="B45" authorId="0" shapeId="0" xr:uid="{00000000-0006-0000-0100-00001D000000}">
      <text>
        <r>
          <rPr>
            <sz val="10"/>
            <rFont val="Arial"/>
            <family val="2"/>
          </rPr>
          <t>Triangulate with: Area Managers</t>
        </r>
      </text>
    </comment>
    <comment ref="B46" authorId="0" shapeId="0" xr:uid="{00000000-0006-0000-0100-00001E000000}">
      <text>
        <r>
          <rPr>
            <sz val="10"/>
            <rFont val="Arial"/>
            <family val="2"/>
          </rPr>
          <t>Triangulate with: Frontline, Supervisors</t>
        </r>
      </text>
    </comment>
    <comment ref="B52" authorId="0" shapeId="0" xr:uid="{00000000-0006-0000-0100-00001F000000}">
      <text>
        <r>
          <rPr>
            <sz val="10"/>
            <rFont val="Arial"/>
            <family val="2"/>
          </rPr>
          <t>Triangulate with: CI team, Line leaders</t>
        </r>
      </text>
    </comment>
    <comment ref="B53" authorId="0" shapeId="0" xr:uid="{00000000-0006-0000-0100-000020000000}">
      <text>
        <r>
          <rPr>
            <sz val="10"/>
            <rFont val="Arial"/>
            <family val="2"/>
          </rPr>
          <t>Triangulate with: CI team, Team leaders</t>
        </r>
      </text>
    </comment>
    <comment ref="B54" authorId="0" shapeId="0" xr:uid="{00000000-0006-0000-0100-000021000000}">
      <text>
        <r>
          <rPr>
            <sz val="10"/>
            <rFont val="Arial"/>
            <family val="2"/>
          </rPr>
          <t>Triangulate with: CI team</t>
        </r>
      </text>
    </comment>
    <comment ref="B55" authorId="0" shapeId="0" xr:uid="{00000000-0006-0000-0100-000022000000}">
      <text>
        <r>
          <rPr>
            <sz val="10"/>
            <rFont val="Arial"/>
            <family val="2"/>
          </rPr>
          <t>Triangulate with: CI team, Finance</t>
        </r>
      </text>
    </comment>
    <comment ref="B56" authorId="0" shapeId="0" xr:uid="{00000000-0006-0000-0100-000023000000}">
      <text>
        <r>
          <rPr>
            <sz val="10"/>
            <rFont val="Arial"/>
            <family val="2"/>
          </rPr>
          <t>Triangulate with: Frontline, CI team</t>
        </r>
      </text>
    </comment>
    <comment ref="B57" authorId="0" shapeId="0" xr:uid="{00000000-0006-0000-0100-000024000000}">
      <text>
        <r>
          <rPr>
            <sz val="10"/>
            <rFont val="Arial"/>
            <family val="2"/>
          </rPr>
          <t>Triangulate with: Team leaders, Frontline</t>
        </r>
      </text>
    </comment>
    <comment ref="B58" authorId="0" shapeId="0" xr:uid="{00000000-0006-0000-0100-000025000000}">
      <text>
        <r>
          <rPr>
            <sz val="10"/>
            <rFont val="Arial"/>
            <family val="2"/>
          </rPr>
          <t>Triangulate with: Frontline, Supervisors</t>
        </r>
      </text>
    </comment>
    <comment ref="B59" authorId="0" shapeId="0" xr:uid="{00000000-0006-0000-0100-000026000000}">
      <text>
        <r>
          <rPr>
            <sz val="10"/>
            <rFont val="Arial"/>
            <family val="2"/>
          </rPr>
          <t>Triangulate with: CI team, Supervisors</t>
        </r>
      </text>
    </comment>
    <comment ref="B60" authorId="0" shapeId="0" xr:uid="{00000000-0006-0000-0100-000027000000}">
      <text>
        <r>
          <rPr>
            <sz val="10"/>
            <rFont val="Arial"/>
            <family val="2"/>
          </rPr>
          <t>Triangulate with: Team leaders, CI team</t>
        </r>
      </text>
    </comment>
    <comment ref="B61" authorId="0" shapeId="0" xr:uid="{00000000-0006-0000-0100-000028000000}">
      <text>
        <r>
          <rPr>
            <sz val="10"/>
            <rFont val="Arial"/>
            <family val="2"/>
          </rPr>
          <t>Triangulate with: Supervisors, CI team</t>
        </r>
      </text>
    </comment>
    <comment ref="B67" authorId="0" shapeId="0" xr:uid="{00000000-0006-0000-0100-000029000000}">
      <text>
        <r>
          <rPr>
            <sz val="10"/>
            <rFont val="Arial"/>
            <family val="2"/>
          </rPr>
          <t>Triangulate with: Ops Mgmt, Frontline</t>
        </r>
      </text>
    </comment>
    <comment ref="B68" authorId="0" shapeId="0" xr:uid="{00000000-0006-0000-0100-00002A000000}">
      <text>
        <r>
          <rPr>
            <sz val="10"/>
            <rFont val="Arial"/>
            <family val="2"/>
          </rPr>
          <t>Triangulate with: Shift supervisors</t>
        </r>
      </text>
    </comment>
    <comment ref="B69" authorId="0" shapeId="0" xr:uid="{00000000-0006-0000-0100-00002B000000}">
      <text>
        <r>
          <rPr>
            <sz val="10"/>
            <rFont val="Arial"/>
            <family val="2"/>
          </rPr>
          <t>Triangulate with: Ops Mgmt, Frontline</t>
        </r>
      </text>
    </comment>
    <comment ref="B70" authorId="0" shapeId="0" xr:uid="{00000000-0006-0000-0100-00002C000000}">
      <text>
        <r>
          <rPr>
            <sz val="10"/>
            <rFont val="Arial"/>
            <family val="2"/>
          </rPr>
          <t>Triangulate with: OpEx, Terminal Mgmt</t>
        </r>
      </text>
    </comment>
    <comment ref="B71" authorId="0" shapeId="0" xr:uid="{00000000-0006-0000-0100-00002D000000}">
      <text>
        <r>
          <rPr>
            <sz val="10"/>
            <rFont val="Arial"/>
            <family val="2"/>
          </rPr>
          <t>Triangulate with: HR/Training, Supervisors</t>
        </r>
      </text>
    </comment>
    <comment ref="B72" authorId="0" shapeId="0" xr:uid="{00000000-0006-0000-0100-00002E000000}">
      <text>
        <r>
          <rPr>
            <sz val="10"/>
            <rFont val="Arial"/>
            <family val="2"/>
          </rPr>
          <t>Triangulate with: OpEx, Supervisors</t>
        </r>
      </text>
    </comment>
    <comment ref="B73" authorId="0" shapeId="0" xr:uid="{00000000-0006-0000-0100-00002F000000}">
      <text>
        <r>
          <rPr>
            <sz val="10"/>
            <rFont val="Arial"/>
            <family val="2"/>
          </rPr>
          <t>Triangulate with: Supervisors, OpEx</t>
        </r>
      </text>
    </comment>
    <comment ref="B74" authorId="0" shapeId="0" xr:uid="{00000000-0006-0000-0100-000030000000}">
      <text>
        <r>
          <rPr>
            <sz val="10"/>
            <rFont val="Arial"/>
            <family val="2"/>
          </rPr>
          <t>Triangulate with: Cross-functional managers</t>
        </r>
      </text>
    </comment>
    <comment ref="B75" authorId="0" shapeId="0" xr:uid="{00000000-0006-0000-0100-000031000000}">
      <text>
        <r>
          <rPr>
            <sz val="10"/>
            <rFont val="Arial"/>
            <family val="2"/>
          </rPr>
          <t>Triangulate with: OpEx, CI team</t>
        </r>
      </text>
    </comment>
    <comment ref="B76" authorId="0" shapeId="0" xr:uid="{00000000-0006-0000-0100-000032000000}">
      <text>
        <r>
          <rPr>
            <sz val="10"/>
            <rFont val="Arial"/>
            <family val="2"/>
          </rPr>
          <t>Triangulate with: Ops Mgmt</t>
        </r>
      </text>
    </comment>
    <comment ref="B82" authorId="0" shapeId="0" xr:uid="{00000000-0006-0000-0100-000033000000}">
      <text>
        <r>
          <rPr>
            <sz val="10"/>
            <rFont val="Arial"/>
            <family val="2"/>
          </rPr>
          <t>Triangulate with: HR, Team leaders</t>
        </r>
      </text>
    </comment>
    <comment ref="B83" authorId="0" shapeId="0" xr:uid="{00000000-0006-0000-0100-000034000000}">
      <text>
        <r>
          <rPr>
            <sz val="10"/>
            <rFont val="Arial"/>
            <family val="2"/>
          </rPr>
          <t>Triangulate with: Team leaders, Frontline</t>
        </r>
      </text>
    </comment>
    <comment ref="B84" authorId="0" shapeId="0" xr:uid="{00000000-0006-0000-0100-000035000000}">
      <text>
        <r>
          <rPr>
            <sz val="10"/>
            <rFont val="Arial"/>
            <family val="2"/>
          </rPr>
          <t>Triangulate with: HR</t>
        </r>
      </text>
    </comment>
    <comment ref="B85" authorId="0" shapeId="0" xr:uid="{00000000-0006-0000-0100-000036000000}">
      <text>
        <r>
          <rPr>
            <sz val="10"/>
            <rFont val="Arial"/>
            <family val="2"/>
          </rPr>
          <t>Triangulate with: Frontline staff</t>
        </r>
      </text>
    </comment>
    <comment ref="B86" authorId="0" shapeId="0" xr:uid="{00000000-0006-0000-0100-000037000000}">
      <text>
        <r>
          <rPr>
            <sz val="10"/>
            <rFont val="Arial"/>
            <family val="2"/>
          </rPr>
          <t>Triangulate with: Frontline, Team leaders</t>
        </r>
      </text>
    </comment>
    <comment ref="B87" authorId="0" shapeId="0" xr:uid="{00000000-0006-0000-0100-000038000000}">
      <text>
        <r>
          <rPr>
            <sz val="10"/>
            <rFont val="Arial"/>
            <family val="2"/>
          </rPr>
          <t>Triangulate with: HR, Shift supervisors</t>
        </r>
      </text>
    </comment>
    <comment ref="B88" authorId="0" shapeId="0" xr:uid="{00000000-0006-0000-0100-000039000000}">
      <text>
        <r>
          <rPr>
            <sz val="10"/>
            <rFont val="Arial"/>
            <family val="2"/>
          </rPr>
          <t>Triangulate with: Frontline, Supervisors</t>
        </r>
      </text>
    </comment>
    <comment ref="B89" authorId="0" shapeId="0" xr:uid="{00000000-0006-0000-0100-00003A000000}">
      <text>
        <r>
          <rPr>
            <sz val="10"/>
            <rFont val="Arial"/>
            <family val="2"/>
          </rPr>
          <t>Triangulate with: Frontline staff</t>
        </r>
      </text>
    </comment>
    <comment ref="B90" authorId="0" shapeId="0" xr:uid="{00000000-0006-0000-0100-00003B000000}">
      <text>
        <r>
          <rPr>
            <sz val="10"/>
            <rFont val="Arial"/>
            <family val="2"/>
          </rPr>
          <t>Triangulate with: Frontline, Team leaders</t>
        </r>
      </text>
    </comment>
    <comment ref="B91" authorId="0" shapeId="0" xr:uid="{00000000-0006-0000-0100-00003C000000}">
      <text>
        <r>
          <rPr>
            <sz val="10"/>
            <rFont val="Arial"/>
            <family val="2"/>
          </rPr>
          <t>Triangulate with: HR, Managers</t>
        </r>
      </text>
    </comment>
    <comment ref="B97" authorId="0" shapeId="0" xr:uid="{00000000-0006-0000-0100-00003D000000}">
      <text>
        <r>
          <rPr>
            <sz val="10"/>
            <rFont val="Arial"/>
            <family val="2"/>
          </rPr>
          <t>Triangulate with: HR/Training</t>
        </r>
      </text>
    </comment>
    <comment ref="B98" authorId="0" shapeId="0" xr:uid="{00000000-0006-0000-0100-00003E000000}">
      <text>
        <r>
          <rPr>
            <sz val="10"/>
            <rFont val="Arial"/>
            <family val="2"/>
          </rPr>
          <t>Triangulate with: Supervisors, HR</t>
        </r>
      </text>
    </comment>
    <comment ref="B99" authorId="0" shapeId="0" xr:uid="{00000000-0006-0000-0100-00003F000000}">
      <text>
        <r>
          <rPr>
            <sz val="10"/>
            <rFont val="Arial"/>
            <family val="2"/>
          </rPr>
          <t>Triangulate with: HR, New hires</t>
        </r>
      </text>
    </comment>
    <comment ref="B100" authorId="0" shapeId="0" xr:uid="{00000000-0006-0000-0100-000040000000}">
      <text>
        <r>
          <rPr>
            <sz val="10"/>
            <rFont val="Arial"/>
            <family val="2"/>
          </rPr>
          <t>Triangulate with: HR/Training, Supervisors</t>
        </r>
      </text>
    </comment>
    <comment ref="B101" authorId="0" shapeId="0" xr:uid="{00000000-0006-0000-0100-000041000000}">
      <text>
        <r>
          <rPr>
            <sz val="10"/>
            <rFont val="Arial"/>
            <family val="2"/>
          </rPr>
          <t>Triangulate with: Supervisors, Frontline</t>
        </r>
      </text>
    </comment>
    <comment ref="B102" authorId="0" shapeId="0" xr:uid="{00000000-0006-0000-0100-000042000000}">
      <text>
        <r>
          <rPr>
            <sz val="10"/>
            <rFont val="Arial"/>
            <family val="2"/>
          </rPr>
          <t>Triangulate with: HR/Training, Supervisors</t>
        </r>
      </text>
    </comment>
    <comment ref="B103" authorId="0" shapeId="0" xr:uid="{00000000-0006-0000-0100-000043000000}">
      <text>
        <r>
          <rPr>
            <sz val="10"/>
            <rFont val="Arial"/>
            <family val="2"/>
          </rPr>
          <t>Triangulate with: HR/Training</t>
        </r>
      </text>
    </comment>
    <comment ref="B104" authorId="0" shapeId="0" xr:uid="{00000000-0006-0000-0100-000044000000}">
      <text>
        <r>
          <rPr>
            <sz val="10"/>
            <rFont val="Arial"/>
            <family val="2"/>
          </rPr>
          <t>Triangulate with: HR, Managers</t>
        </r>
      </text>
    </comment>
    <comment ref="B105" authorId="0" shapeId="0" xr:uid="{00000000-0006-0000-0100-000045000000}">
      <text>
        <r>
          <rPr>
            <sz val="10"/>
            <rFont val="Arial"/>
            <family val="2"/>
          </rPr>
          <t>Triangulate with: HR/Training, Supervisors</t>
        </r>
      </text>
    </comment>
    <comment ref="B106" authorId="0" shapeId="0" xr:uid="{00000000-0006-0000-0100-000046000000}">
      <text>
        <r>
          <rPr>
            <sz val="10"/>
            <rFont val="Arial"/>
            <family val="2"/>
          </rPr>
          <t>Triangulate with: HR, Managers, Staff</t>
        </r>
      </text>
    </comment>
    <comment ref="B112" authorId="0" shapeId="0" xr:uid="{00000000-0006-0000-0100-000047000000}">
      <text>
        <r>
          <rPr>
            <sz val="10"/>
            <rFont val="Arial"/>
            <family val="2"/>
          </rPr>
          <t>Triangulate with: Process Owners, Excellence team</t>
        </r>
      </text>
    </comment>
    <comment ref="B113" authorId="0" shapeId="0" xr:uid="{00000000-0006-0000-0100-000048000000}">
      <text>
        <r>
          <rPr>
            <sz val="10"/>
            <rFont val="Arial"/>
            <family val="2"/>
          </rPr>
          <t>Triangulate with: Excellence team, L&amp;D</t>
        </r>
      </text>
    </comment>
    <comment ref="B114" authorId="0" shapeId="0" xr:uid="{00000000-0006-0000-0100-000049000000}">
      <text>
        <r>
          <rPr>
            <sz val="10"/>
            <rFont val="Arial"/>
            <family val="2"/>
          </rPr>
          <t>Triangulate with: Process Owners, Team leaders</t>
        </r>
      </text>
    </comment>
    <comment ref="B115" authorId="0" shapeId="0" xr:uid="{00000000-0006-0000-0100-00004A000000}">
      <text>
        <r>
          <rPr>
            <sz val="10"/>
            <rFont val="Arial"/>
            <family val="2"/>
          </rPr>
          <t>Triangulate with: CI/Excellence team</t>
        </r>
      </text>
    </comment>
    <comment ref="B116" authorId="0" shapeId="0" xr:uid="{00000000-0006-0000-0100-00004B000000}">
      <text>
        <r>
          <rPr>
            <sz val="10"/>
            <rFont val="Arial"/>
            <family val="2"/>
          </rPr>
          <t>Triangulate with: Excellence team, IT</t>
        </r>
      </text>
    </comment>
    <comment ref="B117" authorId="0" shapeId="0" xr:uid="{00000000-0006-0000-0100-00004C000000}">
      <text>
        <r>
          <rPr>
            <sz val="10"/>
            <rFont val="Arial"/>
            <family val="2"/>
          </rPr>
          <t>Triangulate with: L&amp;D, Frontline</t>
        </r>
      </text>
    </comment>
    <comment ref="B118" authorId="0" shapeId="0" xr:uid="{00000000-0006-0000-0100-00004D000000}">
      <text>
        <r>
          <rPr>
            <sz val="10"/>
            <rFont val="Arial"/>
            <family val="2"/>
          </rPr>
          <t>Triangulate with: Process Owners, Excellence team</t>
        </r>
      </text>
    </comment>
    <comment ref="B119" authorId="0" shapeId="0" xr:uid="{00000000-0006-0000-0100-00004E000000}">
      <text>
        <r>
          <rPr>
            <sz val="10"/>
            <rFont val="Arial"/>
            <family val="2"/>
          </rPr>
          <t>Triangulate with: HR, Excellence team</t>
        </r>
      </text>
    </comment>
    <comment ref="B120" authorId="0" shapeId="0" xr:uid="{00000000-0006-0000-0100-00004F000000}">
      <text>
        <r>
          <rPr>
            <sz val="10"/>
            <rFont val="Arial"/>
            <family val="2"/>
          </rPr>
          <t>Triangulate with: HR, Process Owners</t>
        </r>
      </text>
    </comment>
    <comment ref="B121" authorId="0" shapeId="0" xr:uid="{00000000-0006-0000-0100-000050000000}">
      <text>
        <r>
          <rPr>
            <sz val="10"/>
            <rFont val="Arial"/>
            <family val="2"/>
          </rPr>
          <t>Triangulate with: CI team, Frontline</t>
        </r>
      </text>
    </comment>
    <comment ref="B127" authorId="0" shapeId="0" xr:uid="{00000000-0006-0000-0100-000051000000}">
      <text>
        <r>
          <rPr>
            <sz val="10"/>
            <rFont val="Arial"/>
            <family val="2"/>
          </rPr>
          <t>Triangulate with: Commercial, Terminal Mgmt</t>
        </r>
      </text>
    </comment>
    <comment ref="B128" authorId="0" shapeId="0" xr:uid="{00000000-0006-0000-0100-000052000000}">
      <text>
        <r>
          <rPr>
            <sz val="10"/>
            <rFont val="Arial"/>
            <family val="2"/>
          </rPr>
          <t>Triangulate with: Commercial, Customer Service</t>
        </r>
      </text>
    </comment>
    <comment ref="B129" authorId="0" shapeId="0" xr:uid="{00000000-0006-0000-0100-000053000000}">
      <text>
        <r>
          <rPr>
            <sz val="10"/>
            <rFont val="Arial"/>
            <family val="2"/>
          </rPr>
          <t>Triangulate with: CI team, Commercial</t>
        </r>
      </text>
    </comment>
    <comment ref="B130" authorId="0" shapeId="0" xr:uid="{00000000-0006-0000-0100-000054000000}">
      <text>
        <r>
          <rPr>
            <sz val="10"/>
            <rFont val="Arial"/>
            <family val="2"/>
          </rPr>
          <t>Triangulate with: Commercial, Quality</t>
        </r>
      </text>
    </comment>
    <comment ref="B131" authorId="0" shapeId="0" xr:uid="{00000000-0006-0000-0100-000055000000}">
      <text>
        <r>
          <rPr>
            <sz val="10"/>
            <rFont val="Arial"/>
            <family val="2"/>
          </rPr>
          <t>Triangulate with: Customer Service, Frontline</t>
        </r>
      </text>
    </comment>
    <comment ref="B132" authorId="0" shapeId="0" xr:uid="{00000000-0006-0000-0100-000056000000}">
      <text>
        <r>
          <rPr>
            <sz val="10"/>
            <rFont val="Arial"/>
            <family val="2"/>
          </rPr>
          <t>Triangulate with: Customer Service, Frontline</t>
        </r>
      </text>
    </comment>
    <comment ref="B133" authorId="0" shapeId="0" xr:uid="{00000000-0006-0000-0100-000057000000}">
      <text>
        <r>
          <rPr>
            <sz val="10"/>
            <rFont val="Arial"/>
            <family val="2"/>
          </rPr>
          <t>Triangulate with: Terminal Mgmt, Commercial</t>
        </r>
      </text>
    </comment>
    <comment ref="B134" authorId="0" shapeId="0" xr:uid="{00000000-0006-0000-0100-000058000000}">
      <text>
        <r>
          <rPr>
            <sz val="10"/>
            <rFont val="Arial"/>
            <family val="2"/>
          </rPr>
          <t>Triangulate with: Commercial, OpEx</t>
        </r>
      </text>
    </comment>
    <comment ref="B135" authorId="0" shapeId="0" xr:uid="{00000000-0006-0000-0100-000059000000}">
      <text>
        <r>
          <rPr>
            <sz val="10"/>
            <rFont val="Arial"/>
            <family val="2"/>
          </rPr>
          <t>Triangulate with: Frontline staff</t>
        </r>
      </text>
    </comment>
    <comment ref="B136" authorId="0" shapeId="0" xr:uid="{00000000-0006-0000-0100-00005A000000}">
      <text>
        <r>
          <rPr>
            <sz val="10"/>
            <rFont val="Arial"/>
            <family val="2"/>
          </rPr>
          <t>Triangulate with: HR, Commercial</t>
        </r>
      </text>
    </comment>
    <comment ref="B142" authorId="0" shapeId="0" xr:uid="{00000000-0006-0000-0100-00005B000000}">
      <text>
        <r>
          <rPr>
            <sz val="10"/>
            <rFont val="Arial"/>
            <family val="2"/>
          </rPr>
          <t>Triangulate with: Terminal Mgmt, Frontline</t>
        </r>
      </text>
    </comment>
    <comment ref="B143" authorId="0" shapeId="0" xr:uid="{00000000-0006-0000-0100-00005C000000}">
      <text>
        <r>
          <rPr>
            <sz val="10"/>
            <rFont val="Arial"/>
            <family val="2"/>
          </rPr>
          <t>Triangulate with: HSE, Supervisors, Frontline</t>
        </r>
      </text>
    </comment>
    <comment ref="B144" authorId="0" shapeId="0" xr:uid="{00000000-0006-0000-0100-00005D000000}">
      <text>
        <r>
          <rPr>
            <sz val="10"/>
            <rFont val="Arial"/>
            <family val="2"/>
          </rPr>
          <t>Triangulate with: HSE, Terminal Mgmt</t>
        </r>
      </text>
    </comment>
    <comment ref="B145" authorId="0" shapeId="0" xr:uid="{00000000-0006-0000-0100-00005E000000}">
      <text>
        <r>
          <rPr>
            <sz val="10"/>
            <rFont val="Arial"/>
            <family val="2"/>
          </rPr>
          <t>Triangulate with: HSE, Frontline</t>
        </r>
      </text>
    </comment>
    <comment ref="B146" authorId="0" shapeId="0" xr:uid="{00000000-0006-0000-0100-00005F000000}">
      <text>
        <r>
          <rPr>
            <sz val="10"/>
            <rFont val="Arial"/>
            <family val="2"/>
          </rPr>
          <t>Triangulate with: Frontline, HSE</t>
        </r>
      </text>
    </comment>
    <comment ref="B147" authorId="0" shapeId="0" xr:uid="{00000000-0006-0000-0100-000060000000}">
      <text>
        <r>
          <rPr>
            <sz val="10"/>
            <rFont val="Arial"/>
            <family val="2"/>
          </rPr>
          <t>Triangulate with: HSE, Training, Supervisors</t>
        </r>
      </text>
    </comment>
    <comment ref="B148" authorId="0" shapeId="0" xr:uid="{00000000-0006-0000-0100-000061000000}">
      <text>
        <r>
          <rPr>
            <sz val="10"/>
            <rFont val="Arial"/>
            <family val="2"/>
          </rPr>
          <t>Triangulate with: HSE, CI team</t>
        </r>
      </text>
    </comment>
    <comment ref="B149" authorId="0" shapeId="0" xr:uid="{00000000-0006-0000-0100-000062000000}">
      <text>
        <r>
          <rPr>
            <sz val="10"/>
            <rFont val="Arial"/>
            <family val="2"/>
          </rPr>
          <t>Triangulate with: Frontline, Supervisors</t>
        </r>
      </text>
    </comment>
    <comment ref="B150" authorId="0" shapeId="0" xr:uid="{00000000-0006-0000-0100-000063000000}">
      <text>
        <r>
          <rPr>
            <sz val="10"/>
            <rFont val="Arial"/>
            <family val="2"/>
          </rPr>
          <t>Triangulate with: Frontline, Supervisors</t>
        </r>
      </text>
    </comment>
    <comment ref="B151" authorId="0" shapeId="0" xr:uid="{00000000-0006-0000-0100-000064000000}">
      <text>
        <r>
          <rPr>
            <sz val="10"/>
            <rFont val="Arial"/>
            <family val="2"/>
          </rPr>
          <t>Triangulate with: HSE, Excellence team</t>
        </r>
      </text>
    </comment>
  </commentList>
</comments>
</file>

<file path=xl/sharedStrings.xml><?xml version="1.0" encoding="utf-8"?>
<sst xmlns="http://schemas.openxmlformats.org/spreadsheetml/2006/main" count="533" uniqueCount="469">
  <si>
    <t>BEST Maturity Assessment v2 — Scoring Sheet</t>
  </si>
  <si>
    <t>Terminal:</t>
  </si>
  <si>
    <t>Assessor(s):</t>
  </si>
  <si>
    <t>Date:</t>
  </si>
  <si>
    <t>1.  Leadership &amp; Commitment</t>
  </si>
  <si>
    <t>Definition: The degree to which leaders at every tier personally own, model, resource and hold the organization accountable for the BEST operating system, rather than delegating it.   |   Construct measured: Visible, resourced, accountable leadership ownership of BEST.</t>
  </si>
  <si>
    <t>Item</t>
  </si>
  <si>
    <t>Statement (score the degree this is TRUE)</t>
  </si>
  <si>
    <t>Primary evidence</t>
  </si>
  <si>
    <t>Behavioural anchors  (1 → 5)</t>
  </si>
  <si>
    <t>Score</t>
  </si>
  <si>
    <t>Evidence type</t>
  </si>
  <si>
    <t>Evidence note / examples</t>
  </si>
  <si>
    <t>1.1</t>
  </si>
  <si>
    <t>Senior leaders personally participate in BEST routines (gemba walks, tier reviews) on a published cadence, and their attendance is recorded.</t>
  </si>
  <si>
    <t>Data/Record: Gemba/tier-review attendance log for the last 3 months showing named senior leaders and dates.</t>
  </si>
  <si>
    <t>1 – No leader attends BEST routines. 
2 – Leaders attend occasionally when prompted; no cadence or record. 
3 – A cadence exists and most scheduled attendances are met and logged. 
4 – Attendance is ≥80% to plan, logged, and leaders act on what they see. 
5 – Leaders drive the cadence, coach in-routine, and the practice is copied by other sites.</t>
  </si>
  <si>
    <t>1.2</t>
  </si>
  <si>
    <t>BEST principles are written into the terminal's stated vision/values and are reproduced accurately by leaders when asked.</t>
  </si>
  <si>
    <t>Document: Vision/values artefact referencing BEST; compare with 3 leader interviews.</t>
  </si>
  <si>
    <t>1 – BEST appears in no leadership communication. 
2 – Mentioned in documents but leaders cannot articulate it. 
3 – Documented and most leaders can explain it consistently. 
4 – Documented, explained, and visibly used to justify decisions. 
5 – Lived language; leaders teach it to others and reference it spontaneously.</t>
  </si>
  <si>
    <t>1.3</t>
  </si>
  <si>
    <t>Leaders coach BEST behaviours during work (observed), rather than only directing or correcting outcomes.</t>
  </si>
  <si>
    <t>Observation: Observe ≥1 leader interaction in a routine; note coaching vs. telling behaviours.</t>
  </si>
  <si>
    <t>1 – No coaching observed; command-and-control only. 
2 – Occasional coaching by isolated individuals. 
3 – Coaching observed in standard routines across most leaders. 
4 – Structured coaching with follow-up; staff confirm it happens. 
5 – Coaching culture; leaders develop other coaches.</t>
  </si>
  <si>
    <t>1.4</t>
  </si>
  <si>
    <t>A governance structure assigns named accountability for BEST results and meets on a defined cadence with minutes.</t>
  </si>
  <si>
    <t>Document: Governance ToR + last 2 meeting minutes with attendance and decisions.</t>
  </si>
  <si>
    <t>1 – No governance for BEST. 
2 – Informal/ad-hoc discussion, no terms or record. 
3 – Defined governance with cadence and minutes. 
4 – Governance tracks actions to closure and escalates. 
5 – Governance drives strategy and is benchmarked across sites.</t>
  </si>
  <si>
    <t>1.5</t>
  </si>
  <si>
    <t>Leaders allocate dedicated resource (named time, budget line, or headcount) to BEST, evidenced in plans or budgets.</t>
  </si>
  <si>
    <t>Document: Budget line, role description, or time allocation showing committed BEST resource.</t>
  </si>
  <si>
    <t>1 – No resource allocated. 
2 – Resource borrowed ad hoc when crises allow. 
3 – Defined resource committed for the year. 
4 – Resource committed, tracked, and protected against reallocation. 
5 – Resourcing model is proactive and replicated as a standard.</t>
  </si>
  <si>
    <t>1.6</t>
  </si>
  <si>
    <t>BEST expectations appear in leaders' individual performance objectives/scorecards.</t>
  </si>
  <si>
    <t>Document: Sample leadership scorecard or objective sheet containing a BEST-linked measure.</t>
  </si>
  <si>
    <t>1 – Not in any objective. 
2 – Mentioned informally, not measured. 
3 – In objectives for most leaders. 
4 – In objectives, reviewed, and influences ratings. 
5 – Cascaded through all tiers and tied to development/consequence.</t>
  </si>
  <si>
    <t>1.7</t>
  </si>
  <si>
    <t>Leaders take direct ownership of removing systemic barriers raised by teams, with a traceable action trail.</t>
  </si>
  <si>
    <t>Data/Record: Escalation/barrier log showing items owned and closed by leaders.</t>
  </si>
  <si>
    <t>1 – Barriers are ignored or pushed back down. 
2 – Some barriers addressed reactively, untracked. 
3 – Barriers logged and most are actioned by leaders. 
4 – Barriers tracked to closure with timeliness measured. 
5 – Proactive barrier removal; root-cause patterns eliminated systemically.</t>
  </si>
  <si>
    <t>1.8</t>
  </si>
  <si>
    <t>Leadership messages on BEST are aligned across tiers (global/regional/terminal) with no contradiction reported by staff.</t>
  </si>
  <si>
    <t>Interview: Triangulate 3 tiers on the same priority; check for consistency.</t>
  </si>
  <si>
    <t>1 – Tiers give conflicting messages. 
2 – Alignment by chance, not design. 
3 – Generally aligned across tiers. 
4 – Deliberately aligned and reinforced in cascades. 
5 – One coherent voice; alignment is self-correcting.</t>
  </si>
  <si>
    <t>1.9</t>
  </si>
  <si>
    <t>Leaders publicly recognize BEST contributions in their own routines (observed or recorded), not only via HR programs.</t>
  </si>
  <si>
    <t>Observation: Observe or evidence a leader-led recognition act tied to BEST behaviour.</t>
  </si>
  <si>
    <t>1 – No leader recognition of BEST. 
2 – Rare, generic praise. 
3 – Regular, specific recognition by leaders. 
4 – Recognition tied to behaviours and visible to teams. 
5 – Recognition shapes culture and is emulated widely.</t>
  </si>
  <si>
    <t>1.10</t>
  </si>
  <si>
    <t>Frontline employees independently describe their leaders as role models for improvement (corroborated in interview).</t>
  </si>
  <si>
    <t>Interview: Ask ≥3 frontline staff to describe leadership behaviour unprompted.</t>
  </si>
  <si>
    <t>1 – Staff see leaders as disengaged. 
2 – Mixed perceptions; depends on individual. 
3 – Most staff view leaders positively on improvement. 
4 – Staff give concrete examples of role-modelling. 
5 – Leaders are cited as the reason improvement endures.</t>
  </si>
  <si>
    <t>Element 1 score (avg of scored items × 20, 0–100)</t>
  </si>
  <si>
    <t>2.  Strategy Deployment</t>
  </si>
  <si>
    <t>Definition: The degree to which corporate strategy is translated, cascaded, owned and reviewed down to terminal and team level through a structured (Hoshin-type) process.   |   Construct measured: Line-of-sight from corporate strategy to team action, with review and adaptation.</t>
  </si>
  <si>
    <t>2.1</t>
  </si>
  <si>
    <t>A structured method (e.g., Hoshin/X-matrix) cascades corporate strategy into terminal-level plans, and the artefact exists.</t>
  </si>
  <si>
    <t>Document: Deployment matrix or cascade map linking corporate goals to terminal objectives.</t>
  </si>
  <si>
    <t>1 – No cascade method. 
2 – Goals shared as a list, not cascaded. 
3 – Structured cascade exists for the terminal. 
4 – Cascade is reviewed and adjusted each cycle. 
5 – Cascade is two-way (catchball) and continuously refined.</t>
  </si>
  <si>
    <t>2.2</t>
  </si>
  <si>
    <t>Strategic initiatives are explicitly prioritized against value and capacity, with a documented rationale.</t>
  </si>
  <si>
    <t>Document: Prioritized initiative list with criteria/scoring.</t>
  </si>
  <si>
    <t>1 – No prioritization. 
2 – Implicit prioritization in someone's head. 
3 – Documented prioritization criteria applied. 
4 – Prioritization revisited as conditions change. 
5 – Portfolio actively balanced; low-value work stopped.</t>
  </si>
  <si>
    <t>2.3</t>
  </si>
  <si>
    <t>Every team has KPIs that trace upward to a strategic objective, visible on a deployment board.</t>
  </si>
  <si>
    <t>Observation: Team board showing KPI-to-objective linkage.</t>
  </si>
  <si>
    <t>1 – No team KPIs linked to strategy. 
2 – Some KPIs, no linkage shown. 
3 – Most teams show linked KPIs. 
4 – Linkage used in reviews to steer work. 
5 – Teams adjust their own KPIs as strategy shifts.</t>
  </si>
  <si>
    <t>2.4</t>
  </si>
  <si>
    <t>Progress against strategic goals is reviewed on a fixed cadence at each tier, with the review recorded.</t>
  </si>
  <si>
    <t>Data/Record: Review minutes/board photos across at least 2 tiers for last cycle.</t>
  </si>
  <si>
    <t>1 – No reviews. 
2 – Irregular reviews when problems surface. 
3 – Fixed-cadence reviews at each tier. 
4 – Reviews drive countermeasures and are minuted. 
5 – Reviews predictively adjust the plan; self-running.</t>
  </si>
  <si>
    <t>2.5</t>
  </si>
  <si>
    <t>A sampled employee can explain how their daily work contributes to a strategic goal.</t>
  </si>
  <si>
    <t>Interview: Ask ≥3 staff to connect their work to a terminal objective.</t>
  </si>
  <si>
    <t>1 – No awareness of strategy. 
2 – Vague awareness, no personal link. 
3 – Most can state the link generally. 
4 – Most give a concrete personal example. 
5 – Staff use the link to make daily trade-offs.</t>
  </si>
  <si>
    <t>2.6</t>
  </si>
  <si>
    <t>Each initiative has a single named owner and an accountability mechanism (review or scorecard).</t>
  </si>
  <si>
    <t>Document: Initiative register with owners and review mechanism.</t>
  </si>
  <si>
    <t>1 – No owners. 
2 – Shared/unclear ownership. 
3 – Single owners assigned for most. 
4 – Owners held accountable in reviews. 
5 – Ownership culture; owners self-escalate risks.</t>
  </si>
  <si>
    <t>2.7</t>
  </si>
  <si>
    <t>Mid-cycle corrections are made and documented when initiatives go off-track.</t>
  </si>
  <si>
    <t>Data/Record: Evidence of a re-planned or stopped initiative with rationale.</t>
  </si>
  <si>
    <t>1 – Plans never change regardless of results. 
2 – Changes happen but undocumented. 
3 – Corrections made and recorded. 
4 – Corrections are timely and data-triggered. 
5 – Adaptation is routine and anticipatory.</t>
  </si>
  <si>
    <t>2.8</t>
  </si>
  <si>
    <t>Resources (people, budget, time) are formally assigned to strategic initiatives, not assumed.</t>
  </si>
  <si>
    <t>Document: Resourcing plan attached to initiatives.</t>
  </si>
  <si>
    <t>1 – No resourcing. 
2 – Resourcing implicit. 
3 – Resourcing documented for most. 
4 – Resourcing tracked vs. consumption. 
5 – Resourcing optimized across the portfolio.</t>
  </si>
  <si>
    <t>2.9</t>
  </si>
  <si>
    <t>Strategy deployment is synchronized with the annual business-planning calendar (defined dates).</t>
  </si>
  <si>
    <t>Document: Planning calendar showing deployment milestones.</t>
  </si>
  <si>
    <t>1 – Disconnected from planning cycle. 
2 – Loosely timed, often late. 
3 – Synced to the annual cycle. 
4 – Synced and feeds budgeting decisions. 
5 – Fully integrated rolling planning.</t>
  </si>
  <si>
    <t>2.10</t>
  </si>
  <si>
    <t>Regional/global initiatives and local execution are reconciled so there is no duplicated or conflicting work (verified).</t>
  </si>
  <si>
    <t>Interview: Cross-check 1 regional initiative against local plan for conflict.</t>
  </si>
  <si>
    <t>1 – Local and regional plans conflict. 
2 – Conflicts found and resolved late. 
3 – Generally reconciled. 
4 – Deliberately reconciled each cycle. 
5 – Seamless global-to-local flow.</t>
  </si>
  <si>
    <t>Element 2 score (avg of scored items × 20, 0–100)</t>
  </si>
  <si>
    <t>3.  Standard Work &amp; Daily Management</t>
  </si>
  <si>
    <t>Definition: The degree to which work is standardized and managed through disciplined daily routines (tiered huddles, visual management, escalation) that surface and resolve deviations.   |   Construct measured: Standardized work executed and governed through a tiered daily management system.</t>
  </si>
  <si>
    <t>3.1</t>
  </si>
  <si>
    <t>Tiered daily huddles run to a fixed schedule at each operational level (observed running, not just scheduled).</t>
  </si>
  <si>
    <t>Observation: Observe at least one tier huddle; confirm time, attendance, duration.</t>
  </si>
  <si>
    <t>1 – No daily huddles. 
2 – Huddles happen only when a manager calls them. 
3 – Scheduled huddles run at most tiers. 
4 – Huddles run to plan and start/end on time daily. 
5 – Tiered system self-runs and is taught to new sites.</t>
  </si>
  <si>
    <t>3.2</t>
  </si>
  <si>
    <t>Teams review live KPIs against target during the huddle and can explain the current trend.</t>
  </si>
  <si>
    <t>Observation: Confirm KPI board is current and team explains a trend.</t>
  </si>
  <si>
    <t>1 – No KPIs in huddle. 
2 – KPIs shown but stale or unexplained. 
3 – Current KPIs reviewed at target level. 
4 – Trends drive in-huddle decisions. 
5 – Teams self-correct from trend signals.</t>
  </si>
  <si>
    <t>3.3</t>
  </si>
  <si>
    <t>A standard agenda/structure for the huddle is defined and followed.</t>
  </si>
  <si>
    <t>Document: Standard huddle agenda + observed adherence.</t>
  </si>
  <si>
    <t>1 – No agenda. 
2 – Agenda exists on paper only. 
3 – Agenda followed most days. 
4 – Agenda followed and improved by the team. 
5 – Agenda is a benchmark standard.</t>
  </si>
  <si>
    <t>3.4</t>
  </si>
  <si>
    <t>Deviations from plan are identified in the huddle and escalated through a defined path.</t>
  </si>
  <si>
    <t>Document: Escalation chart + an example escalated item.</t>
  </si>
  <si>
    <t>1 – Deviations not surfaced. 
2 – Surfaced but not escalated. 
3 – Defined escalation used for most. 
4 – Escalation is timely and closed-loop. 
5 – Escalation prevents recurrence systemically.</t>
  </si>
  <si>
    <t>3.5</t>
  </si>
  <si>
    <t>Actions from huddles have a named owner and due date and are tracked to closure.</t>
  </si>
  <si>
    <t>Data/Record: Action log showing owner, date, closure status.</t>
  </si>
  <si>
    <t>1 – No actions captured. 
2 – Actions captured, not tracked. 
3 – Owner+date assigned for most. 
4 – Closure rate tracked and reviewed. 
5 – High on-time closure sustained; root causes removed.</t>
  </si>
  <si>
    <t>3.6</t>
  </si>
  <si>
    <t>Leaders attend and coach within daily routines (observed), reinforcing the standard.</t>
  </si>
  <si>
    <t>Observation: Observe leader behaviour in a routine.</t>
  </si>
  <si>
    <t>1 – Leaders absent from routines. 
2 – Leaders attend passively. 
3 – Leaders attend and reinforce standard. 
4 – Leaders coach and develop the team. 
5 – Leaders grow coaches; routine improves itself.</t>
  </si>
  <si>
    <t>3.7</t>
  </si>
  <si>
    <t>Visual management at the workplace makes status, standards and abnormalities obvious at a glance.</t>
  </si>
  <si>
    <t>Observation: Photograph/observe visual management boards in use.</t>
  </si>
  <si>
    <t>1 – No visual management. 
2 – Boards exist but unused/outdated. 
3 – Boards current and used in routines. 
4 – Visuals trigger action when abnormal. 
5 – Visual system is exemplary and copied.</t>
  </si>
  <si>
    <t>3.8</t>
  </si>
  <si>
    <t>The daily system connects to weekly/monthly performance reviews (issues flow upward, decisions flow down).</t>
  </si>
  <si>
    <t>Document: Show link between daily board items and a weekly/monthly review.</t>
  </si>
  <si>
    <t>1 – No connection between cadences. 
2 – Loose, manual connection. 
3 – Defined connection across cadences. 
4 – Bi-directional flow drives decisions. 
5 – Fully integrated tiered cadence.</t>
  </si>
  <si>
    <t>3.9</t>
  </si>
  <si>
    <t>Cross-functional issues raised in routines are resolved through the meeting system, not outside it.</t>
  </si>
  <si>
    <t>Data/Record: Example cross-functional issue resolved via the system.</t>
  </si>
  <si>
    <t>1 – Cross-functional issues stall. 
2 – Resolved informally outside system. 
3 – Most resolved through the system. 
4 – System reliably resolves and tracks them. 
5 – System prevents cross-functional issues recurring.</t>
  </si>
  <si>
    <t>3.10</t>
  </si>
  <si>
    <t>Standardized work documents exist for key tasks and match what is actually done on the floor (verified).</t>
  </si>
  <si>
    <t>Observation: Compare an SOP against live execution for one key task.</t>
  </si>
  <si>
    <t>1 – No standardized work. 
2 – SOPs exist but differ from practice. 
3 – SOPs match practice for key tasks. 
4 – SOPs maintained and adhered to, audited. 
5 – SOPs continuously improved by the team.</t>
  </si>
  <si>
    <t>Element 3 score (avg of scored items × 20, 0–100)</t>
  </si>
  <si>
    <t>4.  Problem Solving &amp; Continuous Improvement</t>
  </si>
  <si>
    <t>Definition: The degree to which the organization identifies problems from data, solves them to root cause with structured methods, sustains the fix, and builds a self-reinforcing improvement habit.   |   Construct measured: Structured, data-driven, root-cause problem solving that is sustained and widespread.</t>
  </si>
  <si>
    <t>4.1</t>
  </si>
  <si>
    <t>A structured problem-solving method (A3/PDCA/8D) is applied to real problems, evidenced by completed records.</t>
  </si>
  <si>
    <t>Document: At least 2 completed A3/PDCA from the last quarter.</t>
  </si>
  <si>
    <t>1 – No structured method used. 
2 – Method known but rarely used. 
3 – Method applied to most significant problems. 
4 – Method standard and quality-checked. 
5 – Method is second nature across the workforce.</t>
  </si>
  <si>
    <t>4.2</t>
  </si>
  <si>
    <t>Problems are triggered by data and performance deviations, not only by escalated complaints.</t>
  </si>
  <si>
    <t>Data/Record: Show a problem initiated from a KPI deviation.</t>
  </si>
  <si>
    <t>1 – Problems found only when something breaks. 
2 – Some data use, mostly reactive. 
3 – Data routinely triggers problem solving. 
4 – Leading indicators trigger pre-emptive action. 
5 – Predictive signals drive improvement.</t>
  </si>
  <si>
    <t>4.3</t>
  </si>
  <si>
    <t>Root-cause analysis is completed before countermeasures are chosen (evidence in the record).</t>
  </si>
  <si>
    <t>Document: RCA section completed in sampled problem records.</t>
  </si>
  <si>
    <t>1 – Jump straight to fixes. 
2 – RCA occasionally, superficially. 
3 – RCA completed for most problems. 
4 – RCA verified and effective. 
5 – RCA depth is exemplary; recurrence rare.</t>
  </si>
  <si>
    <t>4.4</t>
  </si>
  <si>
    <t>Improvements are explicitly linked to a business result (safety, cost, service, quality) and the impact is quantified.</t>
  </si>
  <si>
    <t>Data/Record: Before/after metric on a sampled improvement.</t>
  </si>
  <si>
    <t>1 – No link to results. 
2 – Claimed benefit, not measured. 
3 – Impact measured for most. 
4 – Impact validated and reported. 
5 – Cumulative impact tracked at portfolio level.</t>
  </si>
  <si>
    <t>4.5</t>
  </si>
  <si>
    <t>Frontline employees are trained in CI methods and have initiated improvements in the last quarter (records).</t>
  </si>
  <si>
    <t>Data/Record: Training records + frontline-raised improvement examples.</t>
  </si>
  <si>
    <t>1 – No frontline involvement. 
2 – A few trained, rarely active. 
3 – Most trained; some active participation. 
4 – Frontline routinely initiates improvements. 
5 – Frontline-led improvement is the norm.</t>
  </si>
  <si>
    <t>4.6</t>
  </si>
  <si>
    <t>A defined process captures, evaluates and dispositions employee improvement suggestions with feedback to the proposer.</t>
  </si>
  <si>
    <t>Document: Suggestion log with status and feedback evidence.</t>
  </si>
  <si>
    <t>1 – No suggestion process. 
2 – Suggestions collected, not actioned. 
3 – Defined process with dispositioning. 
4 – High implementation + feedback rate. 
5 – Suggestion engine is a key improvement source.</t>
  </si>
  <si>
    <t>4.7</t>
  </si>
  <si>
    <t>CI activity and results are visible across the terminal (boards, communications) and current.</t>
  </si>
  <si>
    <t>Observation: Observe current CI visual communication.</t>
  </si>
  <si>
    <t>1 – CI invisible. 
2 – Occasional, outdated displays. 
3 – Current CI visible in work areas. 
4 – Results celebrated and shared widely. 
5 – CI visibility inspires cross-area pull.</t>
  </si>
  <si>
    <t>4.8</t>
  </si>
  <si>
    <t>Improvements are sustained by updating standard work and training, verified after implementation.</t>
  </si>
  <si>
    <t>Document: Evidence an SOP/training was updated post-improvement.</t>
  </si>
  <si>
    <t>1 – Gains erode; no standardization. 
2 – Sometimes standardized, no check. 
3 – Standardized for most improvements. 
4 – Sustainment verified by audit. 
5 – Sustainment is automatic and reliable.</t>
  </si>
  <si>
    <t>4.9</t>
  </si>
  <si>
    <t>Teams conduct structured reflection on failures/misses to extract learning (records or observed).</t>
  </si>
  <si>
    <t>Document: Retrospective/lessons record from a failure.</t>
  </si>
  <si>
    <t>1 – Failures hidden or blamed. 
2 – Reflection rare and informal. 
3 – Structured reflection for most events. 
4 – Learning routinely captured and shared. 
5 – Blame-free learning culture is embedded.</t>
  </si>
  <si>
    <t>4.10</t>
  </si>
  <si>
    <t>Leaders coach and model the problem-solving method (observed coaching, not just sponsoring).</t>
  </si>
  <si>
    <t>Observation: Observe a leader coaching a problem-solving step.</t>
  </si>
  <si>
    <t>1 – No leader involvement. 
2 – Leaders sponsor but don't coach. 
3 – Leaders coach the method in most cases. 
4 – Leaders develop problem-solving capability. 
5 – Leaders create a self-improving system.</t>
  </si>
  <si>
    <t>Element 4 score (avg of scored items × 20, 0–100)</t>
  </si>
  <si>
    <t>5.  Process &amp; Performance Management</t>
  </si>
  <si>
    <t>Definition: The degree to which key processes are documented, owned, measured with leading and lagging KPIs, and actively controlled so that performance deviations trigger response.   |   Construct measured: Documented, owned processes under active KPI-based control.</t>
  </si>
  <si>
    <t>5.1</t>
  </si>
  <si>
    <t>Key operational processes are formally documented, version-controlled and accessible to the people who run them.</t>
  </si>
  <si>
    <t>Document: Process documentation with version control; confirm floor access.</t>
  </si>
  <si>
    <t>1 – No documentation. 
2 – Some docs, uncontrolled/inaccessible. 
3 – Key processes documented and accessible. 
4 – Docs controlled and used daily. 
5 – Living documentation, continuously improved.</t>
  </si>
  <si>
    <t>5.2</t>
  </si>
  <si>
    <t>Process standards are consistent across shifts and comparable areas (verified by comparison).</t>
  </si>
  <si>
    <t>Observation: Compare the same process across 2 shifts/areas.</t>
  </si>
  <si>
    <t>1 – Every shift differs. 
2 – Major variation between shifts. 
3 – Mostly consistent across shifts. 
4 – Consistency verified and maintained. 
5 – Consistency is a benchmark; variation engineered out.</t>
  </si>
  <si>
    <t>5.3</t>
  </si>
  <si>
    <t>Each key process has clearly defined roles and responsibilities (e.g., RACI) understood by the team.</t>
  </si>
  <si>
    <t>Document: RACI or role definition + interview confirmation.</t>
  </si>
  <si>
    <t>1 – Roles unclear. 
2 – Roles assumed, not defined. 
3 – Roles defined for key processes. 
4 – Roles understood and followed. 
5 – Roles optimized; gaps self-corrected.</t>
  </si>
  <si>
    <t>5.4</t>
  </si>
  <si>
    <t>Process performance is monitored with both leading and lagging KPIs, displayed and current.</t>
  </si>
  <si>
    <t>Observation: Confirm leading + lagging KPIs exist and are current.</t>
  </si>
  <si>
    <t>1 – No measurement. 
2 – Only lagging KPIs, sporadic. 
3 – Leading+lagging KPIs in place. 
4 – KPIs drive control decisions. 
5 – Predictive KPIs prevent deviation.</t>
  </si>
  <si>
    <t>5.5</t>
  </si>
  <si>
    <t>People who run key processes are trained and certified for them, with current records.</t>
  </si>
  <si>
    <t>Data/Record: Competency/certification matrix for the process.</t>
  </si>
  <si>
    <t>1 – No competency control. 
2 – Informal, undocumented skill. 
3 – Certification for key roles current. 
4 – Certification enforced before task assignment. 
5 – Competency system drives capability planning.</t>
  </si>
  <si>
    <t>5.6</t>
  </si>
  <si>
    <t>Process adherence is verified through structured confirmations/audits on a defined cadence.</t>
  </si>
  <si>
    <t>Data/Record: Process-confirmation/audit schedule + recent results.</t>
  </si>
  <si>
    <t>1 – No adherence checks. 
2 – Occasional informal checks. 
3 – Scheduled confirmations performed. 
4 – Findings actioned and trended. 
5 – Confirmation system self-improves the process.</t>
  </si>
  <si>
    <t>5.7</t>
  </si>
  <si>
    <t>Deviations from process standards are documented and followed up to closure.</t>
  </si>
  <si>
    <t>Data/Record: Deviation log with closure status.</t>
  </si>
  <si>
    <t>1 – Deviations ignored. 
2 – Noted, not followed up. 
3 – Documented and mostly closed. 
4 – Closure timeliness measured. 
5 – Deviation patterns eliminated at source.</t>
  </si>
  <si>
    <t>5.8</t>
  </si>
  <si>
    <t>End-to-end processes are aligned across departments so hand-offs are defined and measured.</t>
  </si>
  <si>
    <t>Document: End-to-end map showing hand-off measures.</t>
  </si>
  <si>
    <t>1 – Silos; hand-offs undefined. 
2 – Hand-offs known but unmanaged. 
3 – Hand-offs defined across functions. 
4 – Hand-offs measured and improved. 
5 – Seamless end-to-end flow.</t>
  </si>
  <si>
    <t>5.9</t>
  </si>
  <si>
    <t>Process standards are updated as a direct output of CI activity (traceable link).</t>
  </si>
  <si>
    <t>Document: Show a standard updated from a CI project.</t>
  </si>
  <si>
    <t>1 – Standards static. 
2 – Rarely updated, ad hoc. 
3 – Updated from CI for key processes. 
4 – Systematic update loop in place. 
5 – Standards evolve continuously from CI.</t>
  </si>
  <si>
    <t>5.10</t>
  </si>
  <si>
    <t>A named owner is accountable for maintaining each process's documentation and currency.</t>
  </si>
  <si>
    <t>Document: Document owner field populated and current.</t>
  </si>
  <si>
    <t>1 – No owners. 
2 – Owners unclear. 
3 – Owners named for key docs. 
4 – Owners keep docs current, audited. 
5 – Ownership culture; docs never stale.</t>
  </si>
  <si>
    <t>Element 5 score (avg of scored items × 20, 0–100)</t>
  </si>
  <si>
    <t>6.  Recognition &amp; Culture</t>
  </si>
  <si>
    <t>Definition: The degree to which desired BEST behaviours are reinforced through timely, specific, inclusive recognition that shapes a shared improvement culture.   |   Construct measured: Behaviour-shaping recognition embedded in culture.</t>
  </si>
  <si>
    <t>6.1</t>
  </si>
  <si>
    <t>Recognition criteria are explicitly linked to BEST behaviours/values, not only to output results.</t>
  </si>
  <si>
    <t>Document: Recognition program criteria referencing BEST behaviours.</t>
  </si>
  <si>
    <t>1 – No criteria. 
2 – Output-only, ad hoc. 
3 – Behaviour-linked criteria defined. 
4 – Criteria applied consistently and known. 
5 – Criteria shape culture and are emulated.</t>
  </si>
  <si>
    <t>6.2</t>
  </si>
  <si>
    <t>Team or individual achievements are recognized publicly on a regular, predictable basis.</t>
  </si>
  <si>
    <t>Data/Record: Record/cadence of recognition events for last quarter.</t>
  </si>
  <si>
    <t>1 – No public recognition. 
2 – Rare, irregular. 
3 – Regular public recognition. 
4 – Frequent, specific, visible. 
5 – Recognition rhythm is part of identity.</t>
  </si>
  <si>
    <t>6.3</t>
  </si>
  <si>
    <t>A structured recognition system (mechanism, owner, cadence) exists rather than only informal praise.</t>
  </si>
  <si>
    <t>Document: Recognition system description with owner and process.</t>
  </si>
  <si>
    <t>1 – No system. 
2 – Informal only. 
3 – Structured system operating. 
4 – System measured for reach/impact. 
5 – System self-sustains and improves.</t>
  </si>
  <si>
    <t>6.4</t>
  </si>
  <si>
    <t>Recognition is timely and specific (names the behaviour and its impact), confirmed by recipients.</t>
  </si>
  <si>
    <t>Interview: Ask recipients to describe a recent recognition.</t>
  </si>
  <si>
    <t>1 – Recognition absent or generic. 
2 – Delayed and vague. 
3 – Mostly timely and specific. 
4 – Consistently timely, specific, valued. 
5 – Recognition is meaningful and motivating to all.</t>
  </si>
  <si>
    <t>6.5</t>
  </si>
  <si>
    <t>Peer-to-peer recognition mechanisms are available and actively used (evidence of use).</t>
  </si>
  <si>
    <t>Data/Record: Peer-recognition records or platform activity.</t>
  </si>
  <si>
    <t>1 – No peer recognition. 
2 – Exists but unused. 
3 – Used by some teams. 
4 – Widely used and valued. 
5 – Peer recognition drives culture.</t>
  </si>
  <si>
    <t>6.6</t>
  </si>
  <si>
    <t>Recognition is inclusive across all roles and shifts (coverage verified, not concentrated).</t>
  </si>
  <si>
    <t>Data/Record: Recognition distribution across shifts/roles.</t>
  </si>
  <si>
    <t>1 – Recognition reaches a few. 
2 – Skewed to day shift/leaders. 
3 – Reasonably inclusive coverage. 
4 – Verified inclusive across all groups. 
5 – Equitable by design and monitored.</t>
  </si>
  <si>
    <t>6.7</t>
  </si>
  <si>
    <t>Leaders personally participate in recognizing teams (observed or recorded), not delegating it entirely.</t>
  </si>
  <si>
    <t>Observation: Evidence of leader-led recognition.</t>
  </si>
  <si>
    <t>1 – Leaders absent from recognition. 
2 – Occasional token involvement. 
3 – Leaders regularly recognize teams. 
4 – Leaders make it personal and visible. 
5 – Leader recognition defines the culture.</t>
  </si>
  <si>
    <t>6.8</t>
  </si>
  <si>
    <t>Employees report (in interview) that their work is valued and that recognition feels fair.</t>
  </si>
  <si>
    <t>Interview: Ask ≥3 staff about feeling valued and fairness.</t>
  </si>
  <si>
    <t>1 – Staff feel unvalued. 
2 – Mixed; perceived unfairness. 
3 – Most feel valued and treated fairly. 
4 – Strong, consistent sense of value. 
5 – Pride and belonging are evident.</t>
  </si>
  <si>
    <t>6.9</t>
  </si>
  <si>
    <t>BEST cultural values are embedded in everyday team rituals (huddles, start-ups), observed in practice.</t>
  </si>
  <si>
    <t>Observation: Observe a ritual that enacts a value.</t>
  </si>
  <si>
    <t>1 – Values are posters only. 
2 – Occasional reference. 
3 – Values enacted in some rituals. 
4 – Values consistently lived in routines. 
5 – Values are the operating culture.</t>
  </si>
  <si>
    <t>6.10</t>
  </si>
  <si>
    <t>Recognition is connected to development/career progression (traceable examples).</t>
  </si>
  <si>
    <t>Data/Record: Example linking recognition to a development/progression outcome.</t>
  </si>
  <si>
    <t>1 – No link to development. 
2 – Anecdotal link. 
3 – Defined link for some. 
4 – Systematic link applied. 
5 – Recognition feeds talent development pipeline.</t>
  </si>
  <si>
    <t>Element 6 score (avg of scored items × 20, 0–100)</t>
  </si>
  <si>
    <t>7.  Capability Building</t>
  </si>
  <si>
    <t>Definition: The degree to which the organization systematically builds technical and BEST capability through role-based requirements, training, coaching, certification and measured effectiveness.   |   Construct measured: Systematic, measured capability development aligned to roles and needs.</t>
  </si>
  <si>
    <t>7.1</t>
  </si>
  <si>
    <t>A structured training &amp; development system is aligned to defined business and role needs (not generic catalogue).</t>
  </si>
  <si>
    <t>Document: Training plan mapped to role/business needs.</t>
  </si>
  <si>
    <t>1 – No system. 
2 – Generic, needs-blind training. 
3 – Needs-aligned system in place. 
4 – System measured and adjusted. 
5 – Strategic capability engine.</t>
  </si>
  <si>
    <t>7.2</t>
  </si>
  <si>
    <t>Role-based skill matrices define required competencies and current coverage, and are current.</t>
  </si>
  <si>
    <t>Document: Skill matrix with required vs. actual, dated.</t>
  </si>
  <si>
    <t>1 – No skill matrix. 
2 – Outdated/partial matrix. 
3 – Current matrix for key roles. 
4 – Matrix drives training plans. 
5 – Matrix drives workforce planning.</t>
  </si>
  <si>
    <t>7.3</t>
  </si>
  <si>
    <t>Onboarding includes BEST and cultural content, not only functional task training (curriculum evidence).</t>
  </si>
  <si>
    <t>Document: Onboarding curriculum showing BEST/cultural modules.</t>
  </si>
  <si>
    <t>1 – Task-only onboarding. 
2 – BEST mentioned informally. 
3 – BEST in onboarding curriculum. 
4 – BEST onboarding assessed for uptake. 
5 – Onboarding embeds culture from day one.</t>
  </si>
  <si>
    <t>7.4</t>
  </si>
  <si>
    <t>Employees receive both technical and behavioural/soft-skill training on a planned basis (records).</t>
  </si>
  <si>
    <t>Data/Record: Training records covering both categories.</t>
  </si>
  <si>
    <t>1 – No planned training. 
2 – Technical only, ad hoc. 
3 – Both categories planned and delivered. 
4 – Delivery tracked to plan. 
5 – Balanced development is the norm.</t>
  </si>
  <si>
    <t>7.5</t>
  </si>
  <si>
    <t>Coaches/mentors are assigned to reinforce skills in the real work setting (named pairings).</t>
  </si>
  <si>
    <t>Document: Coaching/mentoring assignments and activity.</t>
  </si>
  <si>
    <t>1 – No coaching. 
2 – Informal help only. 
3 – Assigned coaching for key roles. 
4 – Coaching active and effective. 
5 – Coaching culture self-propagates.</t>
  </si>
  <si>
    <t>7.6</t>
  </si>
  <si>
    <t>Training effectiveness is measured through on-the-job performance change, not attendance alone.</t>
  </si>
  <si>
    <t>Data/Record: Pre/post performance or competency verification.</t>
  </si>
  <si>
    <t>1 – Effectiveness not measured. 
2 – Attendance tracked only. 
3 – Effectiveness measured for key training. 
4 – Effectiveness drives course redesign. 
5 – ROI of capability tracked systemically.</t>
  </si>
  <si>
    <t>7.7</t>
  </si>
  <si>
    <t>Structured certification and recertification processes exist for critical competencies and are enforced.</t>
  </si>
  <si>
    <t>Data/Record: Certification register with expiry/recert tracking.</t>
  </si>
  <si>
    <t>1 – No certification. 
2 – One-off, no recert. 
3 – Certification + recert for critical roles. 
4 – Enforced before task assignment. 
5 – Certification underpins safety/quality assurance.</t>
  </si>
  <si>
    <t>7.8</t>
  </si>
  <si>
    <t>Leaders are trained in coaching and people-development skills (records), enabling them to develop others.</t>
  </si>
  <si>
    <t>Data/Record: Leadership coaching-training records.</t>
  </si>
  <si>
    <t>1 – No leader development. 
2 – Ad hoc, optional. 
3 – Most leaders trained to coach. 
4 – Coaching skill applied and assessed. 
5 – Leaders are capability multipliers.</t>
  </si>
  <si>
    <t>7.9</t>
  </si>
  <si>
    <t>Training content is localized to terminal-specific needs and risks, not only corporate-generic.</t>
  </si>
  <si>
    <t>Document: Localized training material example.</t>
  </si>
  <si>
    <t>1 – Generic content only. 
2 – Minor local tweaks. 
3 – Localized for key needs. 
4 – Localization based on local data. 
5 – Local + global blended optimally.</t>
  </si>
  <si>
    <t>7.10</t>
  </si>
  <si>
    <t>Capability growth is tied to individual development plans that are reviewed (records).</t>
  </si>
  <si>
    <t>Document: Sample individual development plans with review dates.</t>
  </si>
  <si>
    <t>1 – No development plans. 
2 – Plans exist, not reviewed. 
3 – Plans in place and reviewed for most. 
4 – Plans drive real progression. 
5 – Development planning is a strength.</t>
  </si>
  <si>
    <t>Element 7 score (avg of scored items × 20, 0–100)</t>
  </si>
  <si>
    <t>8.  Best Practice Sharing &amp; Knowledge Management</t>
  </si>
  <si>
    <t>Definition: The degree to which the organization captures, validates, stores, shares and reuses knowledge and proven practices across shifts, functions and terminals.   |   Construct measured: Captured, validated, reused knowledge that prevents reinvention.</t>
  </si>
  <si>
    <t>8.1</t>
  </si>
  <si>
    <t>A defined process identifies and validates best practices before they are labelled as such.</t>
  </si>
  <si>
    <t>Document: Best-practice identification/validation procedure + example.</t>
  </si>
  <si>
    <t>1 – No process. 
2 – Practices shared without validation. 
3 – Defined validation process used. 
4 – Validation rigorous and trusted. 
5 – Validation feeds a curated standard library.</t>
  </si>
  <si>
    <t>8.2</t>
  </si>
  <si>
    <t>Documented practices are stored in a standardized, searchable, accessible format/repository.</t>
  </si>
  <si>
    <t>Document: Repository with standardized templates; confirm access.</t>
  </si>
  <si>
    <t>1 – No repository. 
2 – Scattered files, no standard. 
3 – Standardized accessible repository. 
4 – Repository actively maintained and used. 
5 – Repository is a go-to knowledge asset.</t>
  </si>
  <si>
    <t>8.3</t>
  </si>
  <si>
    <t>Teams routinely share practices and learnings across shifts, functions or terminals (evidence of exchange).</t>
  </si>
  <si>
    <t>Data/Record: Records of cross-team/terminal sharing events.</t>
  </si>
  <si>
    <t>1 – No sharing. 
2 – Rare, individual-driven. 
3 – Regular structured sharing. 
4 – Sharing leads to adoption elsewhere. 
5 – Sharing network is self-sustaining.</t>
  </si>
  <si>
    <t>8.4</t>
  </si>
  <si>
    <t>Lessons learned from both successes and failures are captured in a defined format.</t>
  </si>
  <si>
    <t>Document: Lessons-learned records covering both outcomes.</t>
  </si>
  <si>
    <t>1 – No lessons captured. 
2 – Only successes, informally. 
3 – Both captured in defined format. 
4 – Lessons routinely reused. 
5 – Learning loop fully closed.</t>
  </si>
  <si>
    <t>8.5</t>
  </si>
  <si>
    <t>A centralized system manages operational knowledge with defined ownership and currency.</t>
  </si>
  <si>
    <t>Document: KM system with owner and update cadence.</t>
  </si>
  <si>
    <t>1 – No KM system. 
2 – Fragmented tools. 
3 – Central system with owner. 
4 – System kept current and governed. 
5 – KM system is a competitive asset.</t>
  </si>
  <si>
    <t>8.6</t>
  </si>
  <si>
    <t>Employees are trained on how to access and contribute to the knowledge base (records of use).</t>
  </si>
  <si>
    <t>Data/Record: Usage/contribution metrics or training records.</t>
  </si>
  <si>
    <t>1 – No one trained. 
2 – Few contributors. 
3 – Most know how to use it. 
4 – Active contribution culture. 
5 – Contribution is a normal work habit.</t>
  </si>
  <si>
    <t>8.7</t>
  </si>
  <si>
    <t>Communities of practice or knowledge forums operate on a regular cadence (evidence of meetings).</t>
  </si>
  <si>
    <t>Data/Record: CoP charter + recent meeting records.</t>
  </si>
  <si>
    <t>1 – No communities. 
2 – One-off forums. 
3 – Active CoP with cadence. 
4 – CoPs drive measurable adoption. 
5 – CoPs are an innovation engine.</t>
  </si>
  <si>
    <t>8.8</t>
  </si>
  <si>
    <t>Sharing best practices is recognized or rewarded (traceable examples).</t>
  </si>
  <si>
    <t>Data/Record: Example of recognition for knowledge sharing.</t>
  </si>
  <si>
    <t>1 – Not recognized. 
2 – Occasional thanks. 
3 – Recognition mechanism exists. 
4 – Recognition drives sharing behaviour. 
5 – Sharing is a celebrated value.</t>
  </si>
  <si>
    <t>8.9</t>
  </si>
  <si>
    <t>Onboarding and role transitions draw on captured knowledge from prior improvements (evidence).</t>
  </si>
  <si>
    <t>Document: Transition/onboarding pack referencing prior learnings.</t>
  </si>
  <si>
    <t>1 – Knowledge lost at transition. 
2 – Informal handover. 
3 – Knowledge reused at transitions. 
4 – Structured knowledge transfer. 
5 – Continuity is engineered, no loss.</t>
  </si>
  <si>
    <t>8.10</t>
  </si>
  <si>
    <t>Existing knowledge is consulted during problem solving to avoid reinventing solutions (observed in records).</t>
  </si>
  <si>
    <t>Document: Problem record citing prior knowledge/solution reuse.</t>
  </si>
  <si>
    <t>1 – Wheel reinvented each time. 
2 – Occasional reuse by chance. 
3 – Knowledge consulted for most problems. 
4 – Reuse is standard practice. 
5 – Reuse accelerates all problem solving.</t>
  </si>
  <si>
    <t>Element 8 score (avg of scored items × 20, 0–100)</t>
  </si>
  <si>
    <t>9.  Customer Experience (CX)</t>
  </si>
  <si>
    <t>Definition: The degree to which the terminal understands customer needs, captures Voice of Customer, and uses customer insight to drive measurable service improvement.   |   Construct measured: Customer insight captured and converted into measurable improvement.</t>
  </si>
  <si>
    <t>9.1</t>
  </si>
  <si>
    <t>Customer experience is a defined, shared priority with named ownership at the terminal.</t>
  </si>
  <si>
    <t>Document: CX strategy/charter with owner.</t>
  </si>
  <si>
    <t>1 – CX undefined. 
2 – Implicit, no owner. 
3 – Defined priority with owner. 
4 – CX integrated into terminal goals. 
5 – CX is a strategic differentiator.</t>
  </si>
  <si>
    <t>9.2</t>
  </si>
  <si>
    <t>Customer feedback (VoC) is collected regularly from multiple channels on a defined cadence.</t>
  </si>
  <si>
    <t>Data/Record: VoC collection records across channels and dates.</t>
  </si>
  <si>
    <t>1 – No feedback collected. 
2 – Only when complaints arise. 
3 – Regular multi-channel VoC. 
4 – VoC structured and representative. 
5 – Continuous, proactive VoC sensing.</t>
  </si>
  <si>
    <t>9.3</t>
  </si>
  <si>
    <t>Customer insights are translated into specific improvement actions with traceable outcomes.</t>
  </si>
  <si>
    <t>Data/Record: An improvement traceable to a customer insight.</t>
  </si>
  <si>
    <t>1 – Insights unused. 
2 – Occasional isolated use. 
3 – Insights drive defined improvements. 
4 – Insight-to-action loop measured. 
5 – Customer co-creates improvements.</t>
  </si>
  <si>
    <t>9.4</t>
  </si>
  <si>
    <t>A customer journey map identifies pain points and is reviewed/updated.</t>
  </si>
  <si>
    <t>Document: Current journey map with identified pain points.</t>
  </si>
  <si>
    <t>1 – No journey understanding. 
2 – Partial, outdated view. 
3 – Journey mapped and reviewed. 
4 – Map drives prioritized action. 
5 – Journey continuously optimized.</t>
  </si>
  <si>
    <t>9.5</t>
  </si>
  <si>
    <t>Clear service standards exist for customer-facing processes and are known by frontline teams.</t>
  </si>
  <si>
    <t>Document: Service standards + frontline confirmation.</t>
  </si>
  <si>
    <t>1 – No standards. 
2 – Vague expectations. 
3 – Defined standards, mostly known. 
4 – Standards met and measured. 
5 – Standards exceed and set the benchmark.</t>
  </si>
  <si>
    <t>9.6</t>
  </si>
  <si>
    <t>Frontline teams are empowered with a defined process to resolve customer issues quickly.</t>
  </si>
  <si>
    <t>Document: Service-recovery process + an example resolution.</t>
  </si>
  <si>
    <t>1 – No resolution path. 
2 – Escalate-everything culture. 
3 – Defined resolution process used. 
4 – Fast first-contact resolution measured. 
5 – Empowered recovery delights customers.</t>
  </si>
  <si>
    <t>9.7</t>
  </si>
  <si>
    <t>Voice of Customer is explicitly considered in operational and strategic decisions (evidence in minutes).</t>
  </si>
  <si>
    <t>Data/Record: Decision record referencing VoC.</t>
  </si>
  <si>
    <t>1 – VoC ignored in decisions. 
2 – Mentioned occasionally. 
3 – VoC considered in key decisions. 
4 – VoC routinely shapes decisions. 
5 – VoC is central to strategy.</t>
  </si>
  <si>
    <t>9.8</t>
  </si>
  <si>
    <t>CX metrics (e.g., NPS, CSAT, dwell/turnaround) are tracked, reviewed and acted upon on a cadence.</t>
  </si>
  <si>
    <t>Data/Record: CX dashboard with review evidence and actions.</t>
  </si>
  <si>
    <t>1 – No CX metrics. 
2 – Collected, not reviewed. 
3 – Tracked and reviewed regularly. 
4 – Metrics drive action and improve. 
5 – Predictive CX management.</t>
  </si>
  <si>
    <t>9.9</t>
  </si>
  <si>
    <t>A sampled employee can explain how their work affects customer outcomes.</t>
  </si>
  <si>
    <t>Interview: Ask ≥3 staff to link their work to a customer outcome.</t>
  </si>
  <si>
    <t>1 – No customer awareness. 
2 – Vague awareness. 
3 – Most can explain the link. 
4 – Staff act on the link daily. 
5 – Customer focus is intrinsic.</t>
  </si>
  <si>
    <t>9.10</t>
  </si>
  <si>
    <t>Customer-centric behaviour is explicitly recognized and promoted (traceable examples).</t>
  </si>
  <si>
    <t>Data/Record: Recognition tied to customer-centric behaviour.</t>
  </si>
  <si>
    <t>1 – Not recognized. 
2 – Occasional, generic. 
3 – Recognized through defined means. 
4 – Drives customer-centric behaviour. 
5 – Customer-centricity is a core value.</t>
  </si>
  <si>
    <t>Element 9 score (avg of scored items × 20, 0–100)</t>
  </si>
  <si>
    <t>10.  Safety Excellence</t>
  </si>
  <si>
    <t>Definition: The degree to which safety is a lived core value, governed by leading and lagging indicators, frontline involvement, root-cause learning and visible leadership, beyond mere compliance.   |   Construct measured: Proactive, leadership-driven, learning-based safety culture.</t>
  </si>
  <si>
    <t>10.1</t>
  </si>
  <si>
    <t>Safety is defined and communicated as a non-negotiable core value, reproduced consistently by staff.</t>
  </si>
  <si>
    <t>Interview: Confirm staff articulate safety as a value, plus communication artefacts.</t>
  </si>
  <si>
    <t>1 – Safety seen as paperwork. 
2 – Stated but not believed. 
3 – Communicated and mostly believed. 
4 – Lived value, evident in choices. 
5 – Safety value is unshakeable and self-policing.</t>
  </si>
  <si>
    <t>10.2</t>
  </si>
  <si>
    <t>Safety roles, responsibilities and authority (incl. stop-work) are defined at all levels and understood.</t>
  </si>
  <si>
    <t>Document: Safety RACI / stop-work authority + interview check.</t>
  </si>
  <si>
    <t>1 – Roles undefined. 
2 – HSE-only ownership. 
3 – Roles defined at all levels. 
4 – Roles understood and exercised. 
5 – Everyone owns safety actively.</t>
  </si>
  <si>
    <t>10.3</t>
  </si>
  <si>
    <t>Both leading (observations, audits) and lagging (incidents) indicators are tracked and reviewed on cadence.</t>
  </si>
  <si>
    <t>Data/Record: Safety dashboard with leading+lagging indicators and review record.</t>
  </si>
  <si>
    <t>1 – No indicators. 
2 – Lagging only, after incidents. 
3 – Leading+lagging tracked and reviewed. 
4 – Indicators drive preventive action. 
5 – Predictive safety analytics in use.</t>
  </si>
  <si>
    <t>10.4</t>
  </si>
  <si>
    <t>Near-misses and unsafe conditions/behaviours are reported and acted upon, with closure tracked.</t>
  </si>
  <si>
    <t>Data/Record: Near-miss log with action and closure status.</t>
  </si>
  <si>
    <t>1 – Under-reporting; fear culture. 
2 – Some reporting, weak follow-up. 
3 – Reported and mostly actioned. 
4 – High reporting + reliable closure. 
5 – Reporting is valued; precursors eliminated.</t>
  </si>
  <si>
    <t>10.5</t>
  </si>
  <si>
    <t>Frontline employees are actively involved in safety improvement (inspections, BBS), evidenced by participation.</t>
  </si>
  <si>
    <t>Data/Record: Participation records in safety activities.</t>
  </si>
  <si>
    <t>1 – No frontline involvement. 
2 – Token participation. 
3 – Regular frontline involvement. 
4 – Frontline drives safety initiatives. 
5 – Frontline ownership defines the culture.</t>
  </si>
  <si>
    <t>10.6</t>
  </si>
  <si>
    <t>Safety training is role-specific, recurring, and matched to actual job risks (records + content check).</t>
  </si>
  <si>
    <t>Data/Record: Training matrix mapped to job risks; recurrence tracked.</t>
  </si>
  <si>
    <t>1 – No safety training. 
2 – Generic, one-off. 
3 – Role-specific recurring training. 
4 – Effectiveness verified on the job. 
5 – Training pre-empts emerging risks.</t>
  </si>
  <si>
    <t>10.7</t>
  </si>
  <si>
    <t>Incidents are investigated to root cause and system-level corrective actions are implemented and verified.</t>
  </si>
  <si>
    <t>Document: Investigation report with RCA + verified corrective actions.</t>
  </si>
  <si>
    <t>1 – Blame-and-move-on. 
2 – Shallow cause, repeat events. 
3 – RCA done; actions implemented. 
4 – Actions verified effective. 
5 – System learning prevents recurrence everywhere.</t>
  </si>
  <si>
    <t>10.8</t>
  </si>
  <si>
    <t>Leaders consistently model safe behaviour and visibly intervene on unsafe acts (observed).</t>
  </si>
  <si>
    <t>Observation: Observe leader safety behaviour/intervention on a walk.</t>
  </si>
  <si>
    <t>1 – Leaders walk past hazards. 
2 – Inconsistent intervention. 
3 – Leaders model and intervene regularly. 
4 – Leaders coach safety proactively. 
5 – Leadership safety behaviour is exemplary.</t>
  </si>
  <si>
    <t>10.9</t>
  </si>
  <si>
    <t>Safety is embedded in daily routines and operational checklists (observed in use, not just on file).</t>
  </si>
  <si>
    <t>Observation: Observe safety steps within a daily routine/checklist.</t>
  </si>
  <si>
    <t>1 – Safety separate from work. 
2 – Checklists exist, not used. 
3 – Safety embedded in key routines. 
4 – Embedded and self-checked daily. 
5 – Safety is inseparable from how work is done.</t>
  </si>
  <si>
    <t>10.10</t>
  </si>
  <si>
    <t>A continuous-learning culture around safety exists; improvements are shared across teams/terminals.</t>
  </si>
  <si>
    <t>Data/Record: Evidence of safety learning shared beyond the originating team.</t>
  </si>
  <si>
    <t>1 – No safety learning shared. 
2 – Local lessons only. 
3 – Learning shared across teams. 
4 – Cross-terminal safety learning routine. 
5 – Network-wide safety learning system.</t>
  </si>
  <si>
    <t>Element 10 score (avg of scored items × 20, 0–100)</t>
  </si>
  <si>
    <t>BEST Maturity — Results Dashboard</t>
  </si>
  <si>
    <t>#</t>
  </si>
  <si>
    <t>Element</t>
  </si>
  <si>
    <t>Band</t>
  </si>
  <si>
    <t>Gap to 100</t>
  </si>
  <si>
    <t>Priority (lowest scored first)</t>
  </si>
  <si>
    <t>Leadership &amp; Commitment</t>
  </si>
  <si>
    <t>Strategy Deployment</t>
  </si>
  <si>
    <t>Standard Work &amp; Daily Management</t>
  </si>
  <si>
    <t>Problem Solving &amp; Continuous Improvement</t>
  </si>
  <si>
    <t>Process &amp; Performance Management</t>
  </si>
  <si>
    <t>Recognition &amp; Culture</t>
  </si>
  <si>
    <t>Capability Building</t>
  </si>
  <si>
    <t>Best Practice Sharing &amp; Knowledge Management</t>
  </si>
  <si>
    <t>Customer Experience (CX)</t>
  </si>
  <si>
    <t>Safety Excellence</t>
  </si>
  <si>
    <t>OVERALL MATURITY (avg of elements)</t>
  </si>
  <si>
    <t>Interpretation bands</t>
  </si>
  <si>
    <t>0–20</t>
  </si>
  <si>
    <t>Absent</t>
  </si>
  <si>
    <t>21–40</t>
  </si>
  <si>
    <t>Emerging</t>
  </si>
  <si>
    <t>41–60</t>
  </si>
  <si>
    <t>Established</t>
  </si>
  <si>
    <t>61–80</t>
  </si>
  <si>
    <t>Integrated</t>
  </si>
  <si>
    <t>81–100</t>
  </si>
  <si>
    <t>Best-in-class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</si>
</sst>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0"/>
      <color rgb="FF5A6470"/>
      <name val="Calibri"/>
      <charset val="1"/>
    </font>
    <font>
      <b/>
      <sz val="14"/>
      <color rgb="FFFFFFFF"/>
      <name val="Calibri"/>
      <charset val="1"/>
    </font>
    <font>
      <i/>
      <sz val="9.5"/>
      <color rgb="FF5A6470"/>
      <name val="Calibri"/>
      <charset val="1"/>
    </font>
    <font>
      <b/>
      <sz val="9.5"/>
      <color rgb="FFFFFFFF"/>
      <name val="Calibri"/>
      <charset val="1"/>
    </font>
    <font>
      <b/>
      <sz val="10"/>
      <color rgb="FF21295C"/>
      <name val="Calibri"/>
      <charset val="1"/>
    </font>
    <font>
      <sz val="10"/>
      <color rgb="FF000000"/>
      <name val="Calibri"/>
      <charset val="1"/>
    </font>
    <font>
      <sz val="8.5"/>
      <color rgb="FF5A6470"/>
      <name val="Calibri"/>
      <charset val="1"/>
    </font>
    <font>
      <sz val="8.5"/>
      <color rgb="FF000000"/>
      <name val="Calibri"/>
      <charset val="1"/>
    </font>
    <font>
      <b/>
      <sz val="12"/>
      <color rgb="FF21295C"/>
      <name val="Calibri"/>
      <charset val="1"/>
    </font>
    <font>
      <sz val="9"/>
      <color rgb="FF000000"/>
      <name val="Calibri"/>
      <charset val="1"/>
    </font>
    <font>
      <b/>
      <sz val="10"/>
      <color rgb="FFFFFFFF"/>
      <name val="Calibri"/>
      <charset val="1"/>
    </font>
    <font>
      <b/>
      <sz val="12"/>
      <color rgb="FFFFFFFF"/>
      <name val="Calibri"/>
      <charset val="1"/>
    </font>
    <font>
      <b/>
      <sz val="11"/>
      <color rgb="FFFFFFFF"/>
      <name val="Calibri"/>
      <charset val="1"/>
    </font>
    <font>
      <sz val="10"/>
      <name val="Arial"/>
      <family val="2"/>
    </font>
    <font>
      <b/>
      <sz val="20"/>
      <color rgb="FF21295C"/>
      <name val="Calibri"/>
      <charset val="1"/>
    </font>
    <font>
      <b/>
      <sz val="11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065A82"/>
      <name val="Calibri"/>
      <charset val="1"/>
    </font>
    <font>
      <b/>
      <sz val="10"/>
      <color rgb="FFB23A3A"/>
      <name val="Calibri"/>
      <charset val="1"/>
    </font>
    <font>
      <b/>
      <sz val="10"/>
      <color rgb="FFC08A1E"/>
      <name val="Calibri"/>
      <charset val="1"/>
    </font>
    <font>
      <b/>
      <sz val="10"/>
      <color rgb="FF1C7293"/>
      <name val="Calibri"/>
      <charset val="1"/>
    </font>
    <font>
      <b/>
      <sz val="10"/>
      <color rgb="FF065A82"/>
      <name val="Calibri"/>
      <charset val="1"/>
    </font>
    <font>
      <b/>
      <sz val="10"/>
      <color rgb="FF2C7A3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21295C"/>
        <bgColor rgb="FF003366"/>
      </patternFill>
    </fill>
    <fill>
      <patternFill patternType="solid">
        <fgColor rgb="FFF2F7FA"/>
        <bgColor rgb="FFFFFFFF"/>
      </patternFill>
    </fill>
    <fill>
      <patternFill patternType="solid">
        <fgColor rgb="FF065A82"/>
        <bgColor rgb="FF1C7293"/>
      </patternFill>
    </fill>
    <fill>
      <patternFill patternType="solid">
        <fgColor rgb="FF1C7293"/>
        <bgColor rgb="FF008080"/>
      </patternFill>
    </fill>
    <fill>
      <patternFill patternType="solid">
        <fgColor rgb="FFFFFFFF"/>
        <bgColor rgb="FFF2F7FA"/>
      </patternFill>
    </fill>
    <fill>
      <patternFill patternType="solid">
        <fgColor rgb="FFB23A3A"/>
        <bgColor rgb="FF993366"/>
      </patternFill>
    </fill>
    <fill>
      <patternFill patternType="solid">
        <fgColor rgb="FFC08A1E"/>
        <bgColor rgb="FFFF9900"/>
      </patternFill>
    </fill>
    <fill>
      <patternFill patternType="solid">
        <fgColor rgb="FF2C7A3F"/>
        <bgColor rgb="FF1C7293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9" fillId="0" borderId="0" xfId="0" applyFont="1"/>
    <xf numFmtId="0" fontId="12" fillId="7" borderId="0" xfId="0" applyFont="1" applyFill="1" applyAlignment="1">
      <alignment horizontal="center" vertical="center" wrapText="1"/>
    </xf>
    <xf numFmtId="0" fontId="20" fillId="0" borderId="0" xfId="0" applyFont="1"/>
    <xf numFmtId="0" fontId="12" fillId="8" borderId="0" xfId="0" applyFont="1" applyFill="1" applyAlignment="1">
      <alignment horizontal="center" vertical="center" wrapText="1"/>
    </xf>
    <xf numFmtId="0" fontId="21" fillId="0" borderId="0" xfId="0" applyFont="1"/>
    <xf numFmtId="0" fontId="12" fillId="5" borderId="0" xfId="0" applyFont="1" applyFill="1" applyAlignment="1">
      <alignment horizontal="center" vertical="center" wrapText="1"/>
    </xf>
    <xf numFmtId="0" fontId="22" fillId="0" borderId="0" xfId="0" applyFont="1"/>
    <xf numFmtId="0" fontId="12" fillId="4" borderId="0" xfId="0" applyFont="1" applyFill="1" applyAlignment="1">
      <alignment horizontal="center" vertical="center" wrapText="1"/>
    </xf>
    <xf numFmtId="0" fontId="23" fillId="0" borderId="0" xfId="0" applyFont="1"/>
    <xf numFmtId="0" fontId="12" fillId="9" borderId="0" xfId="0" applyFont="1" applyFill="1" applyAlignment="1">
      <alignment horizontal="center" vertical="center" wrapText="1"/>
    </xf>
    <xf numFmtId="0" fontId="24" fillId="0" borderId="0" xfId="0" applyFont="1"/>
    <xf numFmtId="0" fontId="3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8A1E"/>
      <rgbColor rgb="FF800080"/>
      <rgbColor rgb="FF1C7293"/>
      <rgbColor rgb="FFBBBBBB"/>
      <rgbColor rgb="FF878787"/>
      <rgbColor rgb="FF9999FF"/>
      <rgbColor rgb="FFB23A3A"/>
      <rgbColor rgb="FFF2F7FA"/>
      <rgbColor rgb="FFDCEAF2"/>
      <rgbColor rgb="FF660066"/>
      <rgbColor rgb="FFFF8080"/>
      <rgbColor rgb="FF065A8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470"/>
      <rgbColor rgb="FF969696"/>
      <rgbColor rgb="FF003366"/>
      <rgbColor rgb="FF2C7A3F"/>
      <rgbColor rgb="FF003300"/>
      <rgbColor rgb="FF333300"/>
      <rgbColor rgb="FF993300"/>
      <rgbColor rgb="FF993366"/>
      <rgbColor rgb="FF333399"/>
      <rgbColor rgb="FF2129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Maturity Radar (by element)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Dashboard!$B$5:$B$14</c:f>
              <c:strCache>
                <c:ptCount val="10"/>
                <c:pt idx="0">
                  <c:v>Leadership &amp; Commitment</c:v>
                </c:pt>
                <c:pt idx="1">
                  <c:v>Strategy Deployment</c:v>
                </c:pt>
                <c:pt idx="2">
                  <c:v>Standard Work &amp; Daily Management</c:v>
                </c:pt>
                <c:pt idx="3">
                  <c:v>Problem Solving &amp; Continuous Improvement</c:v>
                </c:pt>
                <c:pt idx="4">
                  <c:v>Process &amp; Performance Management</c:v>
                </c:pt>
                <c:pt idx="5">
                  <c:v>Recognition &amp; Culture</c:v>
                </c:pt>
                <c:pt idx="6">
                  <c:v>Capability Building</c:v>
                </c:pt>
                <c:pt idx="7">
                  <c:v>Best Practice Sharing &amp; Knowledge Management</c:v>
                </c:pt>
                <c:pt idx="8">
                  <c:v>Customer Experience (CX)</c:v>
                </c:pt>
                <c:pt idx="9">
                  <c:v>Safety Excellence</c:v>
                </c:pt>
              </c:strCache>
            </c:strRef>
          </c:cat>
          <c:val>
            <c:numRef>
              <c:f>Dashboard!$C$5:$C$14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B-4FC9-943C-E414BE054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75215"/>
        <c:axId val="58858851"/>
      </c:radarChart>
      <c:catAx>
        <c:axId val="779752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L"/>
          </a:p>
        </c:txPr>
        <c:crossAx val="58858851"/>
        <c:crosses val="autoZero"/>
        <c:auto val="1"/>
        <c:lblAlgn val="ctr"/>
        <c:lblOffset val="100"/>
        <c:noMultiLvlLbl val="0"/>
      </c:catAx>
      <c:valAx>
        <c:axId val="58858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L"/>
          </a:p>
        </c:txPr>
        <c:crossAx val="779752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70560</xdr:rowOff>
    </xdr:from>
    <xdr:to>
      <xdr:col>16</xdr:col>
      <xdr:colOff>255960</xdr:colOff>
      <xdr:row>22</xdr:row>
      <xdr:rowOff>108000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2"/>
  <sheetViews>
    <sheetView showGridLines="0" tabSelected="1" zoomScaleNormal="100" workbookViewId="0">
      <pane ySplit="2" topLeftCell="A84" activePane="bottomLeft" state="frozen"/>
      <selection pane="bottomLeft" activeCell="A81" sqref="A81:D91"/>
    </sheetView>
  </sheetViews>
  <sheetFormatPr defaultColWidth="8.7109375" defaultRowHeight="15"/>
  <cols>
    <col min="1" max="1" width="7" customWidth="1"/>
    <col min="2" max="2" width="52" customWidth="1"/>
    <col min="3" max="3" width="26" hidden="1" customWidth="1"/>
    <col min="4" max="4" width="60" customWidth="1"/>
    <col min="5" max="5" width="8" customWidth="1"/>
    <col min="6" max="6" width="14" customWidth="1"/>
    <col min="7" max="7" width="34" customWidth="1"/>
  </cols>
  <sheetData>
    <row r="1" spans="1:7" ht="30" customHeight="1">
      <c r="A1" s="34" t="s">
        <v>0</v>
      </c>
      <c r="B1" s="34"/>
      <c r="C1" s="34"/>
      <c r="D1" s="34"/>
      <c r="E1" s="34"/>
      <c r="F1" s="34"/>
      <c r="G1" s="34"/>
    </row>
    <row r="2" spans="1:7">
      <c r="A2" s="1" t="s">
        <v>1</v>
      </c>
      <c r="B2" s="1"/>
      <c r="C2" s="1" t="s">
        <v>2</v>
      </c>
      <c r="D2" s="1"/>
      <c r="E2" s="1" t="s">
        <v>3</v>
      </c>
      <c r="F2" s="1"/>
      <c r="G2" s="1"/>
    </row>
    <row r="4" spans="1:7" ht="24" customHeight="1">
      <c r="A4" s="30" t="s">
        <v>4</v>
      </c>
      <c r="B4" s="30"/>
      <c r="C4" s="30"/>
      <c r="D4" s="30"/>
      <c r="E4" s="30"/>
      <c r="F4" s="30"/>
      <c r="G4" s="30"/>
    </row>
    <row r="5" spans="1:7" ht="30" customHeight="1">
      <c r="A5" s="31" t="s">
        <v>5</v>
      </c>
      <c r="B5" s="31"/>
      <c r="C5" s="31"/>
      <c r="D5" s="31"/>
      <c r="E5" s="31"/>
      <c r="F5" s="31"/>
      <c r="G5" s="31"/>
    </row>
    <row r="6" spans="1:7" ht="25.5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</row>
    <row r="7" spans="1:7" ht="57.75" customHeight="1">
      <c r="A7" s="3" t="s">
        <v>13</v>
      </c>
      <c r="B7" s="4" t="s">
        <v>14</v>
      </c>
      <c r="C7" s="5" t="s">
        <v>15</v>
      </c>
      <c r="D7" s="6" t="s">
        <v>16</v>
      </c>
      <c r="E7" s="7"/>
      <c r="F7" s="8"/>
      <c r="G7" s="9"/>
    </row>
    <row r="8" spans="1:7" ht="57.75" customHeight="1">
      <c r="A8" s="3" t="s">
        <v>17</v>
      </c>
      <c r="B8" s="4" t="s">
        <v>18</v>
      </c>
      <c r="C8" s="5" t="s">
        <v>19</v>
      </c>
      <c r="D8" s="6" t="s">
        <v>20</v>
      </c>
      <c r="E8" s="7"/>
      <c r="F8" s="8"/>
      <c r="G8" s="9"/>
    </row>
    <row r="9" spans="1:7" ht="57.75" customHeight="1">
      <c r="A9" s="3" t="s">
        <v>21</v>
      </c>
      <c r="B9" s="4" t="s">
        <v>22</v>
      </c>
      <c r="C9" s="5" t="s">
        <v>23</v>
      </c>
      <c r="D9" s="6" t="s">
        <v>24</v>
      </c>
      <c r="E9" s="7"/>
      <c r="F9" s="8"/>
      <c r="G9" s="9"/>
    </row>
    <row r="10" spans="1:7" ht="57.75" customHeight="1">
      <c r="A10" s="3" t="s">
        <v>25</v>
      </c>
      <c r="B10" s="4" t="s">
        <v>26</v>
      </c>
      <c r="C10" s="5" t="s">
        <v>27</v>
      </c>
      <c r="D10" s="6" t="s">
        <v>28</v>
      </c>
      <c r="E10" s="7"/>
      <c r="F10" s="8"/>
      <c r="G10" s="9"/>
    </row>
    <row r="11" spans="1:7" ht="57.75" customHeight="1">
      <c r="A11" s="3" t="s">
        <v>29</v>
      </c>
      <c r="B11" s="4" t="s">
        <v>30</v>
      </c>
      <c r="C11" s="5" t="s">
        <v>31</v>
      </c>
      <c r="D11" s="6" t="s">
        <v>32</v>
      </c>
      <c r="E11" s="7"/>
      <c r="F11" s="8"/>
      <c r="G11" s="9"/>
    </row>
    <row r="12" spans="1:7" ht="57.75" customHeight="1">
      <c r="A12" s="3" t="s">
        <v>33</v>
      </c>
      <c r="B12" s="4" t="s">
        <v>34</v>
      </c>
      <c r="C12" s="5" t="s">
        <v>35</v>
      </c>
      <c r="D12" s="6" t="s">
        <v>36</v>
      </c>
      <c r="E12" s="7"/>
      <c r="F12" s="8"/>
      <c r="G12" s="9"/>
    </row>
    <row r="13" spans="1:7" ht="57.75" customHeight="1">
      <c r="A13" s="3" t="s">
        <v>37</v>
      </c>
      <c r="B13" s="4" t="s">
        <v>38</v>
      </c>
      <c r="C13" s="5" t="s">
        <v>39</v>
      </c>
      <c r="D13" s="6" t="s">
        <v>40</v>
      </c>
      <c r="E13" s="7"/>
      <c r="F13" s="8"/>
      <c r="G13" s="9"/>
    </row>
    <row r="14" spans="1:7" ht="57.75" customHeight="1">
      <c r="A14" s="3" t="s">
        <v>41</v>
      </c>
      <c r="B14" s="4" t="s">
        <v>42</v>
      </c>
      <c r="C14" s="5" t="s">
        <v>43</v>
      </c>
      <c r="D14" s="6" t="s">
        <v>44</v>
      </c>
      <c r="E14" s="7"/>
      <c r="F14" s="8"/>
      <c r="G14" s="9"/>
    </row>
    <row r="15" spans="1:7" ht="57.75" customHeight="1">
      <c r="A15" s="3" t="s">
        <v>45</v>
      </c>
      <c r="B15" s="4" t="s">
        <v>46</v>
      </c>
      <c r="C15" s="5" t="s">
        <v>47</v>
      </c>
      <c r="D15" s="6" t="s">
        <v>48</v>
      </c>
      <c r="E15" s="7"/>
      <c r="F15" s="8"/>
      <c r="G15" s="9"/>
    </row>
    <row r="16" spans="1:7" ht="57.75" customHeight="1">
      <c r="A16" s="3" t="s">
        <v>49</v>
      </c>
      <c r="B16" s="4" t="s">
        <v>50</v>
      </c>
      <c r="C16" s="5" t="s">
        <v>51</v>
      </c>
      <c r="D16" s="6" t="s">
        <v>52</v>
      </c>
      <c r="E16" s="7"/>
      <c r="F16" s="8"/>
      <c r="G16" s="9"/>
    </row>
    <row r="17" spans="1:7" ht="21.75" customHeight="1">
      <c r="A17" s="32" t="s">
        <v>53</v>
      </c>
      <c r="B17" s="32"/>
      <c r="C17" s="32"/>
      <c r="D17" s="32"/>
      <c r="E17" s="10">
        <f>IFERROR(ROUND(AVERAGEIF(E7:E16,"&gt;0")*20,0),0)</f>
        <v>0</v>
      </c>
      <c r="F17" s="33" t="str">
        <f>IF($E$17=0,"—",IF($E$17&lt;=20,"Absent",IF($E$17&lt;=40,"Emerging",IF($E$17&lt;=60,"Established",IF($E$17&lt;=80,"Integrated","Best-in-class")))))</f>
        <v>—</v>
      </c>
      <c r="G17" s="33"/>
    </row>
    <row r="19" spans="1:7" ht="24" customHeight="1">
      <c r="A19" s="30" t="s">
        <v>54</v>
      </c>
      <c r="B19" s="30"/>
      <c r="C19" s="30"/>
      <c r="D19" s="30"/>
      <c r="E19" s="30"/>
      <c r="F19" s="30"/>
      <c r="G19" s="30"/>
    </row>
    <row r="20" spans="1:7" ht="30" customHeight="1">
      <c r="A20" s="31" t="s">
        <v>55</v>
      </c>
      <c r="B20" s="31"/>
      <c r="C20" s="31"/>
      <c r="D20" s="31"/>
      <c r="E20" s="31"/>
      <c r="F20" s="31"/>
      <c r="G20" s="31"/>
    </row>
    <row r="21" spans="1:7" ht="25.5" customHeight="1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  <c r="G21" s="2" t="s">
        <v>12</v>
      </c>
    </row>
    <row r="22" spans="1:7" ht="57.75" customHeight="1">
      <c r="A22" s="3" t="s">
        <v>56</v>
      </c>
      <c r="B22" s="4" t="s">
        <v>57</v>
      </c>
      <c r="C22" s="5" t="s">
        <v>58</v>
      </c>
      <c r="D22" s="6" t="s">
        <v>59</v>
      </c>
      <c r="E22" s="7"/>
      <c r="F22" s="8"/>
      <c r="G22" s="9"/>
    </row>
    <row r="23" spans="1:7" ht="57.75" customHeight="1">
      <c r="A23" s="3" t="s">
        <v>60</v>
      </c>
      <c r="B23" s="4" t="s">
        <v>61</v>
      </c>
      <c r="C23" s="5" t="s">
        <v>62</v>
      </c>
      <c r="D23" s="6" t="s">
        <v>63</v>
      </c>
      <c r="E23" s="7"/>
      <c r="F23" s="8"/>
      <c r="G23" s="9"/>
    </row>
    <row r="24" spans="1:7" ht="57.75" customHeight="1">
      <c r="A24" s="3" t="s">
        <v>64</v>
      </c>
      <c r="B24" s="4" t="s">
        <v>65</v>
      </c>
      <c r="C24" s="5" t="s">
        <v>66</v>
      </c>
      <c r="D24" s="6" t="s">
        <v>67</v>
      </c>
      <c r="E24" s="7"/>
      <c r="F24" s="8"/>
      <c r="G24" s="9"/>
    </row>
    <row r="25" spans="1:7" ht="57.75" customHeight="1">
      <c r="A25" s="3" t="s">
        <v>68</v>
      </c>
      <c r="B25" s="4" t="s">
        <v>69</v>
      </c>
      <c r="C25" s="5" t="s">
        <v>70</v>
      </c>
      <c r="D25" s="6" t="s">
        <v>71</v>
      </c>
      <c r="E25" s="7"/>
      <c r="F25" s="8"/>
      <c r="G25" s="9"/>
    </row>
    <row r="26" spans="1:7" ht="57.75" customHeight="1">
      <c r="A26" s="3" t="s">
        <v>72</v>
      </c>
      <c r="B26" s="4" t="s">
        <v>73</v>
      </c>
      <c r="C26" s="5" t="s">
        <v>74</v>
      </c>
      <c r="D26" s="6" t="s">
        <v>75</v>
      </c>
      <c r="E26" s="7"/>
      <c r="F26" s="8"/>
      <c r="G26" s="9"/>
    </row>
    <row r="27" spans="1:7" ht="57.75" customHeight="1">
      <c r="A27" s="3" t="s">
        <v>76</v>
      </c>
      <c r="B27" s="4" t="s">
        <v>77</v>
      </c>
      <c r="C27" s="5" t="s">
        <v>78</v>
      </c>
      <c r="D27" s="6" t="s">
        <v>79</v>
      </c>
      <c r="E27" s="7"/>
      <c r="F27" s="8"/>
      <c r="G27" s="9"/>
    </row>
    <row r="28" spans="1:7" ht="57.75" customHeight="1">
      <c r="A28" s="3" t="s">
        <v>80</v>
      </c>
      <c r="B28" s="4" t="s">
        <v>81</v>
      </c>
      <c r="C28" s="5" t="s">
        <v>82</v>
      </c>
      <c r="D28" s="6" t="s">
        <v>83</v>
      </c>
      <c r="E28" s="7"/>
      <c r="F28" s="8"/>
      <c r="G28" s="9"/>
    </row>
    <row r="29" spans="1:7" ht="57.75" customHeight="1">
      <c r="A29" s="3" t="s">
        <v>84</v>
      </c>
      <c r="B29" s="4" t="s">
        <v>85</v>
      </c>
      <c r="C29" s="5" t="s">
        <v>86</v>
      </c>
      <c r="D29" s="6" t="s">
        <v>87</v>
      </c>
      <c r="E29" s="7"/>
      <c r="F29" s="8"/>
      <c r="G29" s="9"/>
    </row>
    <row r="30" spans="1:7" ht="57.75" customHeight="1">
      <c r="A30" s="3" t="s">
        <v>88</v>
      </c>
      <c r="B30" s="4" t="s">
        <v>89</v>
      </c>
      <c r="C30" s="5" t="s">
        <v>90</v>
      </c>
      <c r="D30" s="6" t="s">
        <v>91</v>
      </c>
      <c r="E30" s="7"/>
      <c r="F30" s="8"/>
      <c r="G30" s="9"/>
    </row>
    <row r="31" spans="1:7" ht="57.75" customHeight="1">
      <c r="A31" s="3" t="s">
        <v>92</v>
      </c>
      <c r="B31" s="4" t="s">
        <v>93</v>
      </c>
      <c r="C31" s="5" t="s">
        <v>94</v>
      </c>
      <c r="D31" s="6" t="s">
        <v>95</v>
      </c>
      <c r="E31" s="7"/>
      <c r="F31" s="8"/>
      <c r="G31" s="9"/>
    </row>
    <row r="32" spans="1:7" ht="21.75" customHeight="1">
      <c r="A32" s="32" t="s">
        <v>96</v>
      </c>
      <c r="B32" s="32"/>
      <c r="C32" s="32"/>
      <c r="D32" s="32"/>
      <c r="E32" s="10">
        <f>IFERROR(ROUND(AVERAGEIF(E22:E31,"&gt;0")*20,0),0)</f>
        <v>0</v>
      </c>
      <c r="F32" s="33" t="str">
        <f>IF($E$32=0,"—",IF($E$32&lt;=20,"Absent",IF($E$32&lt;=40,"Emerging",IF($E$32&lt;=60,"Established",IF($E$32&lt;=80,"Integrated","Best-in-class")))))</f>
        <v>—</v>
      </c>
      <c r="G32" s="33"/>
    </row>
    <row r="34" spans="1:7" ht="24" customHeight="1">
      <c r="A34" s="30" t="s">
        <v>97</v>
      </c>
      <c r="B34" s="30"/>
      <c r="C34" s="30"/>
      <c r="D34" s="30"/>
      <c r="E34" s="30"/>
      <c r="F34" s="30"/>
      <c r="G34" s="30"/>
    </row>
    <row r="35" spans="1:7" ht="30" customHeight="1">
      <c r="A35" s="31" t="s">
        <v>98</v>
      </c>
      <c r="B35" s="31"/>
      <c r="C35" s="31"/>
      <c r="D35" s="31"/>
      <c r="E35" s="31"/>
      <c r="F35" s="31"/>
      <c r="G35" s="31"/>
    </row>
    <row r="36" spans="1:7" ht="25.5" customHeight="1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  <c r="G36" s="2" t="s">
        <v>12</v>
      </c>
    </row>
    <row r="37" spans="1:7" ht="57.75" customHeight="1">
      <c r="A37" s="3" t="s">
        <v>99</v>
      </c>
      <c r="B37" s="4" t="s">
        <v>100</v>
      </c>
      <c r="C37" s="5" t="s">
        <v>101</v>
      </c>
      <c r="D37" s="6" t="s">
        <v>102</v>
      </c>
      <c r="E37" s="7"/>
      <c r="F37" s="8"/>
      <c r="G37" s="9"/>
    </row>
    <row r="38" spans="1:7" ht="57.75" customHeight="1">
      <c r="A38" s="3" t="s">
        <v>103</v>
      </c>
      <c r="B38" s="4" t="s">
        <v>104</v>
      </c>
      <c r="C38" s="5" t="s">
        <v>105</v>
      </c>
      <c r="D38" s="6" t="s">
        <v>106</v>
      </c>
      <c r="E38" s="7"/>
      <c r="F38" s="8"/>
      <c r="G38" s="9"/>
    </row>
    <row r="39" spans="1:7" ht="57.75" customHeight="1">
      <c r="A39" s="3" t="s">
        <v>107</v>
      </c>
      <c r="B39" s="4" t="s">
        <v>108</v>
      </c>
      <c r="C39" s="5" t="s">
        <v>109</v>
      </c>
      <c r="D39" s="6" t="s">
        <v>110</v>
      </c>
      <c r="E39" s="7"/>
      <c r="F39" s="8"/>
      <c r="G39" s="9"/>
    </row>
    <row r="40" spans="1:7" ht="57.75" customHeight="1">
      <c r="A40" s="3" t="s">
        <v>111</v>
      </c>
      <c r="B40" s="4" t="s">
        <v>112</v>
      </c>
      <c r="C40" s="5" t="s">
        <v>113</v>
      </c>
      <c r="D40" s="6" t="s">
        <v>114</v>
      </c>
      <c r="E40" s="7"/>
      <c r="F40" s="8"/>
      <c r="G40" s="9"/>
    </row>
    <row r="41" spans="1:7" ht="57.75" customHeight="1">
      <c r="A41" s="3" t="s">
        <v>115</v>
      </c>
      <c r="B41" s="4" t="s">
        <v>116</v>
      </c>
      <c r="C41" s="5" t="s">
        <v>117</v>
      </c>
      <c r="D41" s="6" t="s">
        <v>118</v>
      </c>
      <c r="E41" s="7"/>
      <c r="F41" s="8"/>
      <c r="G41" s="9"/>
    </row>
    <row r="42" spans="1:7" ht="57.75" customHeight="1">
      <c r="A42" s="3" t="s">
        <v>119</v>
      </c>
      <c r="B42" s="4" t="s">
        <v>120</v>
      </c>
      <c r="C42" s="5" t="s">
        <v>121</v>
      </c>
      <c r="D42" s="6" t="s">
        <v>122</v>
      </c>
      <c r="E42" s="7"/>
      <c r="F42" s="8"/>
      <c r="G42" s="9"/>
    </row>
    <row r="43" spans="1:7" ht="57.75" customHeight="1">
      <c r="A43" s="3" t="s">
        <v>123</v>
      </c>
      <c r="B43" s="4" t="s">
        <v>124</v>
      </c>
      <c r="C43" s="5" t="s">
        <v>125</v>
      </c>
      <c r="D43" s="6" t="s">
        <v>126</v>
      </c>
      <c r="E43" s="7"/>
      <c r="F43" s="8"/>
      <c r="G43" s="9"/>
    </row>
    <row r="44" spans="1:7" ht="57.75" customHeight="1">
      <c r="A44" s="3" t="s">
        <v>127</v>
      </c>
      <c r="B44" s="4" t="s">
        <v>128</v>
      </c>
      <c r="C44" s="5" t="s">
        <v>129</v>
      </c>
      <c r="D44" s="6" t="s">
        <v>130</v>
      </c>
      <c r="E44" s="7"/>
      <c r="F44" s="8"/>
      <c r="G44" s="9"/>
    </row>
    <row r="45" spans="1:7" ht="57.75" customHeight="1">
      <c r="A45" s="3" t="s">
        <v>131</v>
      </c>
      <c r="B45" s="4" t="s">
        <v>132</v>
      </c>
      <c r="C45" s="5" t="s">
        <v>133</v>
      </c>
      <c r="D45" s="6" t="s">
        <v>134</v>
      </c>
      <c r="E45" s="7"/>
      <c r="F45" s="8"/>
      <c r="G45" s="9"/>
    </row>
    <row r="46" spans="1:7" ht="57.75" customHeight="1">
      <c r="A46" s="3" t="s">
        <v>135</v>
      </c>
      <c r="B46" s="4" t="s">
        <v>136</v>
      </c>
      <c r="C46" s="5" t="s">
        <v>137</v>
      </c>
      <c r="D46" s="6" t="s">
        <v>138</v>
      </c>
      <c r="E46" s="7"/>
      <c r="F46" s="8"/>
      <c r="G46" s="9"/>
    </row>
    <row r="47" spans="1:7" ht="21.75" customHeight="1">
      <c r="A47" s="32" t="s">
        <v>139</v>
      </c>
      <c r="B47" s="32"/>
      <c r="C47" s="32"/>
      <c r="D47" s="32"/>
      <c r="E47" s="10">
        <f>IFERROR(ROUND(AVERAGEIF(E37:E46,"&gt;0")*20,0),0)</f>
        <v>0</v>
      </c>
      <c r="F47" s="33" t="str">
        <f>IF($E$47=0,"—",IF($E$47&lt;=20,"Absent",IF($E$47&lt;=40,"Emerging",IF($E$47&lt;=60,"Established",IF($E$47&lt;=80,"Integrated","Best-in-class")))))</f>
        <v>—</v>
      </c>
      <c r="G47" s="33"/>
    </row>
    <row r="49" spans="1:7" ht="24" customHeight="1">
      <c r="A49" s="30" t="s">
        <v>140</v>
      </c>
      <c r="B49" s="30"/>
      <c r="C49" s="30"/>
      <c r="D49" s="30"/>
      <c r="E49" s="30"/>
      <c r="F49" s="30"/>
      <c r="G49" s="30"/>
    </row>
    <row r="50" spans="1:7" ht="30" customHeight="1">
      <c r="A50" s="31" t="s">
        <v>141</v>
      </c>
      <c r="B50" s="31"/>
      <c r="C50" s="31"/>
      <c r="D50" s="31"/>
      <c r="E50" s="31"/>
      <c r="F50" s="31"/>
      <c r="G50" s="31"/>
    </row>
    <row r="51" spans="1:7" ht="25.5" customHeight="1">
      <c r="A51" s="2" t="s">
        <v>6</v>
      </c>
      <c r="B51" s="2" t="s">
        <v>7</v>
      </c>
      <c r="C51" s="2" t="s">
        <v>8</v>
      </c>
      <c r="D51" s="2" t="s">
        <v>9</v>
      </c>
      <c r="E51" s="2" t="s">
        <v>10</v>
      </c>
      <c r="F51" s="2" t="s">
        <v>11</v>
      </c>
      <c r="G51" s="2" t="s">
        <v>12</v>
      </c>
    </row>
    <row r="52" spans="1:7" ht="57.75" customHeight="1">
      <c r="A52" s="3" t="s">
        <v>142</v>
      </c>
      <c r="B52" s="4" t="s">
        <v>143</v>
      </c>
      <c r="C52" s="5" t="s">
        <v>144</v>
      </c>
      <c r="D52" s="6" t="s">
        <v>145</v>
      </c>
      <c r="E52" s="7"/>
      <c r="F52" s="8"/>
      <c r="G52" s="9"/>
    </row>
    <row r="53" spans="1:7" ht="57.75" customHeight="1">
      <c r="A53" s="3" t="s">
        <v>146</v>
      </c>
      <c r="B53" s="4" t="s">
        <v>147</v>
      </c>
      <c r="C53" s="5" t="s">
        <v>148</v>
      </c>
      <c r="D53" s="6" t="s">
        <v>149</v>
      </c>
      <c r="E53" s="7"/>
      <c r="F53" s="8"/>
      <c r="G53" s="9"/>
    </row>
    <row r="54" spans="1:7" ht="57.75" customHeight="1">
      <c r="A54" s="3" t="s">
        <v>150</v>
      </c>
      <c r="B54" s="4" t="s">
        <v>151</v>
      </c>
      <c r="C54" s="5" t="s">
        <v>152</v>
      </c>
      <c r="D54" s="6" t="s">
        <v>153</v>
      </c>
      <c r="E54" s="7"/>
      <c r="F54" s="8"/>
      <c r="G54" s="9"/>
    </row>
    <row r="55" spans="1:7" ht="57.75" customHeight="1">
      <c r="A55" s="3" t="s">
        <v>154</v>
      </c>
      <c r="B55" s="4" t="s">
        <v>155</v>
      </c>
      <c r="C55" s="5" t="s">
        <v>156</v>
      </c>
      <c r="D55" s="6" t="s">
        <v>157</v>
      </c>
      <c r="E55" s="7"/>
      <c r="F55" s="8"/>
      <c r="G55" s="9"/>
    </row>
    <row r="56" spans="1:7" ht="57.75" customHeight="1">
      <c r="A56" s="3" t="s">
        <v>158</v>
      </c>
      <c r="B56" s="4" t="s">
        <v>159</v>
      </c>
      <c r="C56" s="5" t="s">
        <v>160</v>
      </c>
      <c r="D56" s="6" t="s">
        <v>161</v>
      </c>
      <c r="E56" s="7"/>
      <c r="F56" s="8"/>
      <c r="G56" s="9"/>
    </row>
    <row r="57" spans="1:7" ht="57.75" customHeight="1">
      <c r="A57" s="3" t="s">
        <v>162</v>
      </c>
      <c r="B57" s="4" t="s">
        <v>163</v>
      </c>
      <c r="C57" s="5" t="s">
        <v>164</v>
      </c>
      <c r="D57" s="6" t="s">
        <v>165</v>
      </c>
      <c r="E57" s="7"/>
      <c r="F57" s="8"/>
      <c r="G57" s="9"/>
    </row>
    <row r="58" spans="1:7" ht="57.75" customHeight="1">
      <c r="A58" s="3" t="s">
        <v>166</v>
      </c>
      <c r="B58" s="4" t="s">
        <v>167</v>
      </c>
      <c r="C58" s="5" t="s">
        <v>168</v>
      </c>
      <c r="D58" s="6" t="s">
        <v>169</v>
      </c>
      <c r="E58" s="7"/>
      <c r="F58" s="8"/>
      <c r="G58" s="9"/>
    </row>
    <row r="59" spans="1:7" ht="57.75" customHeight="1">
      <c r="A59" s="3" t="s">
        <v>170</v>
      </c>
      <c r="B59" s="4" t="s">
        <v>171</v>
      </c>
      <c r="C59" s="5" t="s">
        <v>172</v>
      </c>
      <c r="D59" s="6" t="s">
        <v>173</v>
      </c>
      <c r="E59" s="7"/>
      <c r="F59" s="8"/>
      <c r="G59" s="9"/>
    </row>
    <row r="60" spans="1:7" ht="57.75" customHeight="1">
      <c r="A60" s="3" t="s">
        <v>174</v>
      </c>
      <c r="B60" s="4" t="s">
        <v>175</v>
      </c>
      <c r="C60" s="5" t="s">
        <v>176</v>
      </c>
      <c r="D60" s="6" t="s">
        <v>177</v>
      </c>
      <c r="E60" s="7"/>
      <c r="F60" s="8"/>
      <c r="G60" s="9"/>
    </row>
    <row r="61" spans="1:7" ht="57.75" customHeight="1">
      <c r="A61" s="3" t="s">
        <v>178</v>
      </c>
      <c r="B61" s="4" t="s">
        <v>179</v>
      </c>
      <c r="C61" s="5" t="s">
        <v>180</v>
      </c>
      <c r="D61" s="6" t="s">
        <v>181</v>
      </c>
      <c r="E61" s="7"/>
      <c r="F61" s="8"/>
      <c r="G61" s="9"/>
    </row>
    <row r="62" spans="1:7" ht="21.75" customHeight="1">
      <c r="A62" s="32" t="s">
        <v>182</v>
      </c>
      <c r="B62" s="32"/>
      <c r="C62" s="32"/>
      <c r="D62" s="32"/>
      <c r="E62" s="10">
        <f>IFERROR(ROUND(AVERAGEIF(E52:E61,"&gt;0")*20,0),0)</f>
        <v>0</v>
      </c>
      <c r="F62" s="33" t="str">
        <f>IF($E$62=0,"—",IF($E$62&lt;=20,"Absent",IF($E$62&lt;=40,"Emerging",IF($E$62&lt;=60,"Established",IF($E$62&lt;=80,"Integrated","Best-in-class")))))</f>
        <v>—</v>
      </c>
      <c r="G62" s="33"/>
    </row>
    <row r="64" spans="1:7" ht="24" customHeight="1">
      <c r="A64" s="30" t="s">
        <v>183</v>
      </c>
      <c r="B64" s="30"/>
      <c r="C64" s="30"/>
      <c r="D64" s="30"/>
      <c r="E64" s="30"/>
      <c r="F64" s="30"/>
      <c r="G64" s="30"/>
    </row>
    <row r="65" spans="1:7" ht="30" customHeight="1">
      <c r="A65" s="31" t="s">
        <v>184</v>
      </c>
      <c r="B65" s="31"/>
      <c r="C65" s="31"/>
      <c r="D65" s="31"/>
      <c r="E65" s="31"/>
      <c r="F65" s="31"/>
      <c r="G65" s="31"/>
    </row>
    <row r="66" spans="1:7" ht="25.5" customHeight="1">
      <c r="A66" s="2" t="s">
        <v>6</v>
      </c>
      <c r="B66" s="2" t="s">
        <v>7</v>
      </c>
      <c r="C66" s="2" t="s">
        <v>8</v>
      </c>
      <c r="D66" s="2" t="s">
        <v>9</v>
      </c>
      <c r="E66" s="2" t="s">
        <v>10</v>
      </c>
      <c r="F66" s="2" t="s">
        <v>11</v>
      </c>
      <c r="G66" s="2" t="s">
        <v>12</v>
      </c>
    </row>
    <row r="67" spans="1:7" ht="57.75" customHeight="1">
      <c r="A67" s="3" t="s">
        <v>185</v>
      </c>
      <c r="B67" s="4" t="s">
        <v>186</v>
      </c>
      <c r="C67" s="5" t="s">
        <v>187</v>
      </c>
      <c r="D67" s="6" t="s">
        <v>188</v>
      </c>
      <c r="E67" s="7"/>
      <c r="F67" s="8"/>
      <c r="G67" s="9"/>
    </row>
    <row r="68" spans="1:7" ht="57.75" customHeight="1">
      <c r="A68" s="3" t="s">
        <v>189</v>
      </c>
      <c r="B68" s="4" t="s">
        <v>190</v>
      </c>
      <c r="C68" s="5" t="s">
        <v>191</v>
      </c>
      <c r="D68" s="6" t="s">
        <v>192</v>
      </c>
      <c r="E68" s="7"/>
      <c r="F68" s="8"/>
      <c r="G68" s="9"/>
    </row>
    <row r="69" spans="1:7" ht="57.75" customHeight="1">
      <c r="A69" s="3" t="s">
        <v>193</v>
      </c>
      <c r="B69" s="4" t="s">
        <v>194</v>
      </c>
      <c r="C69" s="5" t="s">
        <v>195</v>
      </c>
      <c r="D69" s="6" t="s">
        <v>196</v>
      </c>
      <c r="E69" s="7"/>
      <c r="F69" s="8"/>
      <c r="G69" s="9"/>
    </row>
    <row r="70" spans="1:7" ht="57.75" customHeight="1">
      <c r="A70" s="3" t="s">
        <v>197</v>
      </c>
      <c r="B70" s="4" t="s">
        <v>198</v>
      </c>
      <c r="C70" s="5" t="s">
        <v>199</v>
      </c>
      <c r="D70" s="6" t="s">
        <v>200</v>
      </c>
      <c r="E70" s="7"/>
      <c r="F70" s="8"/>
      <c r="G70" s="9"/>
    </row>
    <row r="71" spans="1:7" ht="57.75" customHeight="1">
      <c r="A71" s="3" t="s">
        <v>201</v>
      </c>
      <c r="B71" s="4" t="s">
        <v>202</v>
      </c>
      <c r="C71" s="5" t="s">
        <v>203</v>
      </c>
      <c r="D71" s="6" t="s">
        <v>204</v>
      </c>
      <c r="E71" s="7"/>
      <c r="F71" s="8"/>
      <c r="G71" s="9"/>
    </row>
    <row r="72" spans="1:7" ht="57.75" customHeight="1">
      <c r="A72" s="3" t="s">
        <v>205</v>
      </c>
      <c r="B72" s="4" t="s">
        <v>206</v>
      </c>
      <c r="C72" s="5" t="s">
        <v>207</v>
      </c>
      <c r="D72" s="6" t="s">
        <v>208</v>
      </c>
      <c r="E72" s="7"/>
      <c r="F72" s="8"/>
      <c r="G72" s="9"/>
    </row>
    <row r="73" spans="1:7" ht="57.75" customHeight="1">
      <c r="A73" s="3" t="s">
        <v>209</v>
      </c>
      <c r="B73" s="4" t="s">
        <v>210</v>
      </c>
      <c r="C73" s="5" t="s">
        <v>211</v>
      </c>
      <c r="D73" s="6" t="s">
        <v>212</v>
      </c>
      <c r="E73" s="7"/>
      <c r="F73" s="8"/>
      <c r="G73" s="9"/>
    </row>
    <row r="74" spans="1:7" ht="57.75" customHeight="1">
      <c r="A74" s="3" t="s">
        <v>213</v>
      </c>
      <c r="B74" s="4" t="s">
        <v>214</v>
      </c>
      <c r="C74" s="5" t="s">
        <v>215</v>
      </c>
      <c r="D74" s="6" t="s">
        <v>216</v>
      </c>
      <c r="E74" s="7"/>
      <c r="F74" s="8"/>
      <c r="G74" s="9"/>
    </row>
    <row r="75" spans="1:7" ht="57.75" customHeight="1">
      <c r="A75" s="3" t="s">
        <v>217</v>
      </c>
      <c r="B75" s="4" t="s">
        <v>218</v>
      </c>
      <c r="C75" s="5" t="s">
        <v>219</v>
      </c>
      <c r="D75" s="6" t="s">
        <v>220</v>
      </c>
      <c r="E75" s="7"/>
      <c r="F75" s="8"/>
      <c r="G75" s="9"/>
    </row>
    <row r="76" spans="1:7" ht="57.75" customHeight="1">
      <c r="A76" s="3" t="s">
        <v>221</v>
      </c>
      <c r="B76" s="4" t="s">
        <v>222</v>
      </c>
      <c r="C76" s="5" t="s">
        <v>223</v>
      </c>
      <c r="D76" s="6" t="s">
        <v>224</v>
      </c>
      <c r="E76" s="7"/>
      <c r="F76" s="8"/>
      <c r="G76" s="9"/>
    </row>
    <row r="77" spans="1:7" ht="21.75" customHeight="1">
      <c r="A77" s="32" t="s">
        <v>225</v>
      </c>
      <c r="B77" s="32"/>
      <c r="C77" s="32"/>
      <c r="D77" s="32"/>
      <c r="E77" s="10">
        <f>IFERROR(ROUND(AVERAGEIF(E67:E76,"&gt;0")*20,0),0)</f>
        <v>0</v>
      </c>
      <c r="F77" s="33" t="str">
        <f>IF($E$77=0,"—",IF($E$77&lt;=20,"Absent",IF($E$77&lt;=40,"Emerging",IF($E$77&lt;=60,"Established",IF($E$77&lt;=80,"Integrated","Best-in-class")))))</f>
        <v>—</v>
      </c>
      <c r="G77" s="33"/>
    </row>
    <row r="79" spans="1:7" ht="24" customHeight="1">
      <c r="A79" s="30" t="s">
        <v>226</v>
      </c>
      <c r="B79" s="30"/>
      <c r="C79" s="30"/>
      <c r="D79" s="30"/>
      <c r="E79" s="30"/>
      <c r="F79" s="30"/>
      <c r="G79" s="30"/>
    </row>
    <row r="80" spans="1:7" ht="30" customHeight="1">
      <c r="A80" s="31" t="s">
        <v>227</v>
      </c>
      <c r="B80" s="31"/>
      <c r="C80" s="31"/>
      <c r="D80" s="31"/>
      <c r="E80" s="31"/>
      <c r="F80" s="31"/>
      <c r="G80" s="31"/>
    </row>
    <row r="81" spans="1:7" ht="25.5" customHeight="1">
      <c r="A81" s="2" t="s">
        <v>6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11</v>
      </c>
      <c r="G81" s="2" t="s">
        <v>12</v>
      </c>
    </row>
    <row r="82" spans="1:7" ht="57.75" customHeight="1">
      <c r="A82" s="3" t="s">
        <v>228</v>
      </c>
      <c r="B82" s="4" t="s">
        <v>229</v>
      </c>
      <c r="C82" s="5" t="s">
        <v>230</v>
      </c>
      <c r="D82" s="6" t="s">
        <v>231</v>
      </c>
      <c r="E82" s="7"/>
      <c r="F82" s="8"/>
      <c r="G82" s="9"/>
    </row>
    <row r="83" spans="1:7" ht="57.75" customHeight="1">
      <c r="A83" s="3" t="s">
        <v>232</v>
      </c>
      <c r="B83" s="4" t="s">
        <v>233</v>
      </c>
      <c r="C83" s="5" t="s">
        <v>234</v>
      </c>
      <c r="D83" s="6" t="s">
        <v>235</v>
      </c>
      <c r="E83" s="7"/>
      <c r="F83" s="8"/>
      <c r="G83" s="9"/>
    </row>
    <row r="84" spans="1:7" ht="57.75" customHeight="1">
      <c r="A84" s="3" t="s">
        <v>236</v>
      </c>
      <c r="B84" s="4" t="s">
        <v>237</v>
      </c>
      <c r="C84" s="5" t="s">
        <v>238</v>
      </c>
      <c r="D84" s="6" t="s">
        <v>239</v>
      </c>
      <c r="E84" s="7"/>
      <c r="F84" s="8"/>
      <c r="G84" s="9"/>
    </row>
    <row r="85" spans="1:7" ht="57.75" customHeight="1">
      <c r="A85" s="3" t="s">
        <v>240</v>
      </c>
      <c r="B85" s="4" t="s">
        <v>241</v>
      </c>
      <c r="C85" s="5" t="s">
        <v>242</v>
      </c>
      <c r="D85" s="6" t="s">
        <v>243</v>
      </c>
      <c r="E85" s="7"/>
      <c r="F85" s="8"/>
      <c r="G85" s="9"/>
    </row>
    <row r="86" spans="1:7" ht="57.75" customHeight="1">
      <c r="A86" s="3" t="s">
        <v>244</v>
      </c>
      <c r="B86" s="4" t="s">
        <v>245</v>
      </c>
      <c r="C86" s="5" t="s">
        <v>246</v>
      </c>
      <c r="D86" s="6" t="s">
        <v>247</v>
      </c>
      <c r="E86" s="7"/>
      <c r="F86" s="8"/>
      <c r="G86" s="9"/>
    </row>
    <row r="87" spans="1:7" ht="57.75" customHeight="1">
      <c r="A87" s="3" t="s">
        <v>248</v>
      </c>
      <c r="B87" s="4" t="s">
        <v>249</v>
      </c>
      <c r="C87" s="5" t="s">
        <v>250</v>
      </c>
      <c r="D87" s="6" t="s">
        <v>251</v>
      </c>
      <c r="E87" s="7"/>
      <c r="F87" s="8"/>
      <c r="G87" s="9"/>
    </row>
    <row r="88" spans="1:7" ht="57.75" customHeight="1">
      <c r="A88" s="3" t="s">
        <v>252</v>
      </c>
      <c r="B88" s="4" t="s">
        <v>253</v>
      </c>
      <c r="C88" s="5" t="s">
        <v>254</v>
      </c>
      <c r="D88" s="6" t="s">
        <v>255</v>
      </c>
      <c r="E88" s="7"/>
      <c r="F88" s="8"/>
      <c r="G88" s="9"/>
    </row>
    <row r="89" spans="1:7" ht="57.75" customHeight="1">
      <c r="A89" s="3" t="s">
        <v>256</v>
      </c>
      <c r="B89" s="4" t="s">
        <v>257</v>
      </c>
      <c r="C89" s="5" t="s">
        <v>258</v>
      </c>
      <c r="D89" s="6" t="s">
        <v>259</v>
      </c>
      <c r="E89" s="7"/>
      <c r="F89" s="8"/>
      <c r="G89" s="9"/>
    </row>
    <row r="90" spans="1:7" ht="57.75" customHeight="1">
      <c r="A90" s="3" t="s">
        <v>260</v>
      </c>
      <c r="B90" s="4" t="s">
        <v>261</v>
      </c>
      <c r="C90" s="5" t="s">
        <v>262</v>
      </c>
      <c r="D90" s="6" t="s">
        <v>263</v>
      </c>
      <c r="E90" s="7"/>
      <c r="F90" s="8"/>
      <c r="G90" s="9"/>
    </row>
    <row r="91" spans="1:7" ht="57.75" customHeight="1">
      <c r="A91" s="3" t="s">
        <v>264</v>
      </c>
      <c r="B91" s="4" t="s">
        <v>265</v>
      </c>
      <c r="C91" s="5" t="s">
        <v>266</v>
      </c>
      <c r="D91" s="6" t="s">
        <v>267</v>
      </c>
      <c r="E91" s="7"/>
      <c r="F91" s="8"/>
      <c r="G91" s="9"/>
    </row>
    <row r="92" spans="1:7" ht="21.75" customHeight="1">
      <c r="A92" s="32" t="s">
        <v>268</v>
      </c>
      <c r="B92" s="32"/>
      <c r="C92" s="32"/>
      <c r="D92" s="32"/>
      <c r="E92" s="10">
        <f>IFERROR(ROUND(AVERAGEIF(E82:E91,"&gt;0")*20,0),0)</f>
        <v>0</v>
      </c>
      <c r="F92" s="33" t="str">
        <f>IF($E$92=0,"—",IF($E$92&lt;=20,"Absent",IF($E$92&lt;=40,"Emerging",IF($E$92&lt;=60,"Established",IF($E$92&lt;=80,"Integrated","Best-in-class")))))</f>
        <v>—</v>
      </c>
      <c r="G92" s="33"/>
    </row>
    <row r="94" spans="1:7" ht="24" customHeight="1">
      <c r="A94" s="30" t="s">
        <v>269</v>
      </c>
      <c r="B94" s="30"/>
      <c r="C94" s="30"/>
      <c r="D94" s="30"/>
      <c r="E94" s="30"/>
      <c r="F94" s="30"/>
      <c r="G94" s="30"/>
    </row>
    <row r="95" spans="1:7" ht="30" customHeight="1">
      <c r="A95" s="31" t="s">
        <v>270</v>
      </c>
      <c r="B95" s="31"/>
      <c r="C95" s="31"/>
      <c r="D95" s="31"/>
      <c r="E95" s="31"/>
      <c r="F95" s="31"/>
      <c r="G95" s="31"/>
    </row>
    <row r="96" spans="1:7" ht="25.5" customHeight="1">
      <c r="A96" s="2" t="s">
        <v>6</v>
      </c>
      <c r="B96" s="2" t="s">
        <v>7</v>
      </c>
      <c r="C96" s="2" t="s">
        <v>8</v>
      </c>
      <c r="D96" s="2" t="s">
        <v>9</v>
      </c>
      <c r="E96" s="2" t="s">
        <v>10</v>
      </c>
      <c r="F96" s="2" t="s">
        <v>11</v>
      </c>
      <c r="G96" s="2" t="s">
        <v>12</v>
      </c>
    </row>
    <row r="97" spans="1:7" ht="57.75" customHeight="1">
      <c r="A97" s="3" t="s">
        <v>271</v>
      </c>
      <c r="B97" s="4" t="s">
        <v>272</v>
      </c>
      <c r="C97" s="5" t="s">
        <v>273</v>
      </c>
      <c r="D97" s="6" t="s">
        <v>274</v>
      </c>
      <c r="E97" s="7"/>
      <c r="F97" s="8"/>
      <c r="G97" s="9"/>
    </row>
    <row r="98" spans="1:7" ht="57.75" customHeight="1">
      <c r="A98" s="3" t="s">
        <v>275</v>
      </c>
      <c r="B98" s="4" t="s">
        <v>276</v>
      </c>
      <c r="C98" s="5" t="s">
        <v>277</v>
      </c>
      <c r="D98" s="6" t="s">
        <v>278</v>
      </c>
      <c r="E98" s="7"/>
      <c r="F98" s="8"/>
      <c r="G98" s="9"/>
    </row>
    <row r="99" spans="1:7" ht="57.75" customHeight="1">
      <c r="A99" s="3" t="s">
        <v>279</v>
      </c>
      <c r="B99" s="4" t="s">
        <v>280</v>
      </c>
      <c r="C99" s="5" t="s">
        <v>281</v>
      </c>
      <c r="D99" s="6" t="s">
        <v>282</v>
      </c>
      <c r="E99" s="7"/>
      <c r="F99" s="8"/>
      <c r="G99" s="9"/>
    </row>
    <row r="100" spans="1:7" ht="57.75" customHeight="1">
      <c r="A100" s="3" t="s">
        <v>283</v>
      </c>
      <c r="B100" s="4" t="s">
        <v>284</v>
      </c>
      <c r="C100" s="5" t="s">
        <v>285</v>
      </c>
      <c r="D100" s="6" t="s">
        <v>286</v>
      </c>
      <c r="E100" s="7"/>
      <c r="F100" s="8"/>
      <c r="G100" s="9"/>
    </row>
    <row r="101" spans="1:7" ht="57.75" customHeight="1">
      <c r="A101" s="3" t="s">
        <v>287</v>
      </c>
      <c r="B101" s="4" t="s">
        <v>288</v>
      </c>
      <c r="C101" s="5" t="s">
        <v>289</v>
      </c>
      <c r="D101" s="6" t="s">
        <v>290</v>
      </c>
      <c r="E101" s="7"/>
      <c r="F101" s="8"/>
      <c r="G101" s="9"/>
    </row>
    <row r="102" spans="1:7" ht="57.75" customHeight="1">
      <c r="A102" s="3" t="s">
        <v>291</v>
      </c>
      <c r="B102" s="4" t="s">
        <v>292</v>
      </c>
      <c r="C102" s="5" t="s">
        <v>293</v>
      </c>
      <c r="D102" s="6" t="s">
        <v>294</v>
      </c>
      <c r="E102" s="7"/>
      <c r="F102" s="8"/>
      <c r="G102" s="9"/>
    </row>
    <row r="103" spans="1:7" ht="57.75" customHeight="1">
      <c r="A103" s="3" t="s">
        <v>295</v>
      </c>
      <c r="B103" s="4" t="s">
        <v>296</v>
      </c>
      <c r="C103" s="5" t="s">
        <v>297</v>
      </c>
      <c r="D103" s="6" t="s">
        <v>298</v>
      </c>
      <c r="E103" s="7"/>
      <c r="F103" s="8"/>
      <c r="G103" s="9"/>
    </row>
    <row r="104" spans="1:7" ht="57.75" customHeight="1">
      <c r="A104" s="3" t="s">
        <v>299</v>
      </c>
      <c r="B104" s="4" t="s">
        <v>300</v>
      </c>
      <c r="C104" s="5" t="s">
        <v>301</v>
      </c>
      <c r="D104" s="6" t="s">
        <v>302</v>
      </c>
      <c r="E104" s="7"/>
      <c r="F104" s="8"/>
      <c r="G104" s="9"/>
    </row>
    <row r="105" spans="1:7" ht="57.75" customHeight="1">
      <c r="A105" s="3" t="s">
        <v>303</v>
      </c>
      <c r="B105" s="4" t="s">
        <v>304</v>
      </c>
      <c r="C105" s="5" t="s">
        <v>305</v>
      </c>
      <c r="D105" s="6" t="s">
        <v>306</v>
      </c>
      <c r="E105" s="7"/>
      <c r="F105" s="8"/>
      <c r="G105" s="9"/>
    </row>
    <row r="106" spans="1:7" ht="57.75" customHeight="1">
      <c r="A106" s="3" t="s">
        <v>307</v>
      </c>
      <c r="B106" s="4" t="s">
        <v>308</v>
      </c>
      <c r="C106" s="5" t="s">
        <v>309</v>
      </c>
      <c r="D106" s="6" t="s">
        <v>310</v>
      </c>
      <c r="E106" s="7"/>
      <c r="F106" s="8"/>
      <c r="G106" s="9"/>
    </row>
    <row r="107" spans="1:7" ht="21.75" customHeight="1">
      <c r="A107" s="32" t="s">
        <v>311</v>
      </c>
      <c r="B107" s="32"/>
      <c r="C107" s="32"/>
      <c r="D107" s="32"/>
      <c r="E107" s="10">
        <f>IFERROR(ROUND(AVERAGEIF(E97:E106,"&gt;0")*20,0),0)</f>
        <v>0</v>
      </c>
      <c r="F107" s="33" t="str">
        <f>IF($E$107=0,"—",IF($E$107&lt;=20,"Absent",IF($E$107&lt;=40,"Emerging",IF($E$107&lt;=60,"Established",IF($E$107&lt;=80,"Integrated","Best-in-class")))))</f>
        <v>—</v>
      </c>
      <c r="G107" s="33"/>
    </row>
    <row r="109" spans="1:7" ht="24" customHeight="1">
      <c r="A109" s="30" t="s">
        <v>312</v>
      </c>
      <c r="B109" s="30"/>
      <c r="C109" s="30"/>
      <c r="D109" s="30"/>
      <c r="E109" s="30"/>
      <c r="F109" s="30"/>
      <c r="G109" s="30"/>
    </row>
    <row r="110" spans="1:7" ht="30" customHeight="1">
      <c r="A110" s="31" t="s">
        <v>313</v>
      </c>
      <c r="B110" s="31"/>
      <c r="C110" s="31"/>
      <c r="D110" s="31"/>
      <c r="E110" s="31"/>
      <c r="F110" s="31"/>
      <c r="G110" s="31"/>
    </row>
    <row r="111" spans="1:7" ht="25.5" customHeight="1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11</v>
      </c>
      <c r="G111" s="2" t="s">
        <v>12</v>
      </c>
    </row>
    <row r="112" spans="1:7" ht="57.75" customHeight="1">
      <c r="A112" s="3" t="s">
        <v>314</v>
      </c>
      <c r="B112" s="4" t="s">
        <v>315</v>
      </c>
      <c r="C112" s="5" t="s">
        <v>316</v>
      </c>
      <c r="D112" s="6" t="s">
        <v>317</v>
      </c>
      <c r="E112" s="7"/>
      <c r="F112" s="8"/>
      <c r="G112" s="9"/>
    </row>
    <row r="113" spans="1:7" ht="57.75" customHeight="1">
      <c r="A113" s="3" t="s">
        <v>318</v>
      </c>
      <c r="B113" s="4" t="s">
        <v>319</v>
      </c>
      <c r="C113" s="5" t="s">
        <v>320</v>
      </c>
      <c r="D113" s="6" t="s">
        <v>321</v>
      </c>
      <c r="E113" s="7"/>
      <c r="F113" s="8"/>
      <c r="G113" s="9"/>
    </row>
    <row r="114" spans="1:7" ht="57.75" customHeight="1">
      <c r="A114" s="3" t="s">
        <v>322</v>
      </c>
      <c r="B114" s="4" t="s">
        <v>323</v>
      </c>
      <c r="C114" s="5" t="s">
        <v>324</v>
      </c>
      <c r="D114" s="6" t="s">
        <v>325</v>
      </c>
      <c r="E114" s="7"/>
      <c r="F114" s="8"/>
      <c r="G114" s="9"/>
    </row>
    <row r="115" spans="1:7" ht="57.75" customHeight="1">
      <c r="A115" s="3" t="s">
        <v>326</v>
      </c>
      <c r="B115" s="4" t="s">
        <v>327</v>
      </c>
      <c r="C115" s="5" t="s">
        <v>328</v>
      </c>
      <c r="D115" s="6" t="s">
        <v>329</v>
      </c>
      <c r="E115" s="7"/>
      <c r="F115" s="8"/>
      <c r="G115" s="9"/>
    </row>
    <row r="116" spans="1:7" ht="57.75" customHeight="1">
      <c r="A116" s="3" t="s">
        <v>330</v>
      </c>
      <c r="B116" s="4" t="s">
        <v>331</v>
      </c>
      <c r="C116" s="5" t="s">
        <v>332</v>
      </c>
      <c r="D116" s="6" t="s">
        <v>333</v>
      </c>
      <c r="E116" s="7"/>
      <c r="F116" s="8"/>
      <c r="G116" s="9"/>
    </row>
    <row r="117" spans="1:7" ht="57.75" customHeight="1">
      <c r="A117" s="3" t="s">
        <v>334</v>
      </c>
      <c r="B117" s="4" t="s">
        <v>335</v>
      </c>
      <c r="C117" s="5" t="s">
        <v>336</v>
      </c>
      <c r="D117" s="6" t="s">
        <v>337</v>
      </c>
      <c r="E117" s="7"/>
      <c r="F117" s="8"/>
      <c r="G117" s="9"/>
    </row>
    <row r="118" spans="1:7" ht="57.75" customHeight="1">
      <c r="A118" s="3" t="s">
        <v>338</v>
      </c>
      <c r="B118" s="4" t="s">
        <v>339</v>
      </c>
      <c r="C118" s="5" t="s">
        <v>340</v>
      </c>
      <c r="D118" s="6" t="s">
        <v>341</v>
      </c>
      <c r="E118" s="7"/>
      <c r="F118" s="8"/>
      <c r="G118" s="9"/>
    </row>
    <row r="119" spans="1:7" ht="57.75" customHeight="1">
      <c r="A119" s="3" t="s">
        <v>342</v>
      </c>
      <c r="B119" s="4" t="s">
        <v>343</v>
      </c>
      <c r="C119" s="5" t="s">
        <v>344</v>
      </c>
      <c r="D119" s="6" t="s">
        <v>345</v>
      </c>
      <c r="E119" s="7"/>
      <c r="F119" s="8"/>
      <c r="G119" s="9"/>
    </row>
    <row r="120" spans="1:7" ht="57.75" customHeight="1">
      <c r="A120" s="3" t="s">
        <v>346</v>
      </c>
      <c r="B120" s="4" t="s">
        <v>347</v>
      </c>
      <c r="C120" s="5" t="s">
        <v>348</v>
      </c>
      <c r="D120" s="6" t="s">
        <v>349</v>
      </c>
      <c r="E120" s="7"/>
      <c r="F120" s="8"/>
      <c r="G120" s="9"/>
    </row>
    <row r="121" spans="1:7" ht="57.75" customHeight="1">
      <c r="A121" s="3" t="s">
        <v>350</v>
      </c>
      <c r="B121" s="4" t="s">
        <v>351</v>
      </c>
      <c r="C121" s="5" t="s">
        <v>352</v>
      </c>
      <c r="D121" s="6" t="s">
        <v>353</v>
      </c>
      <c r="E121" s="7"/>
      <c r="F121" s="8"/>
      <c r="G121" s="9"/>
    </row>
    <row r="122" spans="1:7" ht="21.75" customHeight="1">
      <c r="A122" s="32" t="s">
        <v>354</v>
      </c>
      <c r="B122" s="32"/>
      <c r="C122" s="32"/>
      <c r="D122" s="32"/>
      <c r="E122" s="10">
        <f>IFERROR(ROUND(AVERAGEIF(E112:E121,"&gt;0")*20,0),0)</f>
        <v>0</v>
      </c>
      <c r="F122" s="33" t="str">
        <f>IF($E$122=0,"—",IF($E$122&lt;=20,"Absent",IF($E$122&lt;=40,"Emerging",IF($E$122&lt;=60,"Established",IF($E$122&lt;=80,"Integrated","Best-in-class")))))</f>
        <v>—</v>
      </c>
      <c r="G122" s="33"/>
    </row>
    <row r="124" spans="1:7" ht="24" customHeight="1">
      <c r="A124" s="30" t="s">
        <v>355</v>
      </c>
      <c r="B124" s="30"/>
      <c r="C124" s="30"/>
      <c r="D124" s="30"/>
      <c r="E124" s="30"/>
      <c r="F124" s="30"/>
      <c r="G124" s="30"/>
    </row>
    <row r="125" spans="1:7" ht="30" customHeight="1">
      <c r="A125" s="31" t="s">
        <v>356</v>
      </c>
      <c r="B125" s="31"/>
      <c r="C125" s="31"/>
      <c r="D125" s="31"/>
      <c r="E125" s="31"/>
      <c r="F125" s="31"/>
      <c r="G125" s="31"/>
    </row>
    <row r="126" spans="1:7" ht="25.5" customHeight="1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11</v>
      </c>
      <c r="G126" s="2" t="s">
        <v>12</v>
      </c>
    </row>
    <row r="127" spans="1:7" ht="57.75" customHeight="1">
      <c r="A127" s="3" t="s">
        <v>357</v>
      </c>
      <c r="B127" s="4" t="s">
        <v>358</v>
      </c>
      <c r="C127" s="5" t="s">
        <v>359</v>
      </c>
      <c r="D127" s="6" t="s">
        <v>360</v>
      </c>
      <c r="E127" s="7"/>
      <c r="F127" s="8"/>
      <c r="G127" s="9"/>
    </row>
    <row r="128" spans="1:7" ht="57.75" customHeight="1">
      <c r="A128" s="3" t="s">
        <v>361</v>
      </c>
      <c r="B128" s="4" t="s">
        <v>362</v>
      </c>
      <c r="C128" s="5" t="s">
        <v>363</v>
      </c>
      <c r="D128" s="6" t="s">
        <v>364</v>
      </c>
      <c r="E128" s="7"/>
      <c r="F128" s="8"/>
      <c r="G128" s="9"/>
    </row>
    <row r="129" spans="1:7" ht="57.75" customHeight="1">
      <c r="A129" s="3" t="s">
        <v>365</v>
      </c>
      <c r="B129" s="4" t="s">
        <v>366</v>
      </c>
      <c r="C129" s="5" t="s">
        <v>367</v>
      </c>
      <c r="D129" s="6" t="s">
        <v>368</v>
      </c>
      <c r="E129" s="7"/>
      <c r="F129" s="8"/>
      <c r="G129" s="9"/>
    </row>
    <row r="130" spans="1:7" ht="57.75" customHeight="1">
      <c r="A130" s="3" t="s">
        <v>369</v>
      </c>
      <c r="B130" s="4" t="s">
        <v>370</v>
      </c>
      <c r="C130" s="5" t="s">
        <v>371</v>
      </c>
      <c r="D130" s="6" t="s">
        <v>372</v>
      </c>
      <c r="E130" s="7"/>
      <c r="F130" s="8"/>
      <c r="G130" s="9"/>
    </row>
    <row r="131" spans="1:7" ht="57.75" customHeight="1">
      <c r="A131" s="3" t="s">
        <v>373</v>
      </c>
      <c r="B131" s="4" t="s">
        <v>374</v>
      </c>
      <c r="C131" s="5" t="s">
        <v>375</v>
      </c>
      <c r="D131" s="6" t="s">
        <v>376</v>
      </c>
      <c r="E131" s="7"/>
      <c r="F131" s="8"/>
      <c r="G131" s="9"/>
    </row>
    <row r="132" spans="1:7" ht="57.75" customHeight="1">
      <c r="A132" s="3" t="s">
        <v>377</v>
      </c>
      <c r="B132" s="4" t="s">
        <v>378</v>
      </c>
      <c r="C132" s="5" t="s">
        <v>379</v>
      </c>
      <c r="D132" s="6" t="s">
        <v>380</v>
      </c>
      <c r="E132" s="7"/>
      <c r="F132" s="8"/>
      <c r="G132" s="9"/>
    </row>
    <row r="133" spans="1:7" ht="57.75" customHeight="1">
      <c r="A133" s="3" t="s">
        <v>381</v>
      </c>
      <c r="B133" s="4" t="s">
        <v>382</v>
      </c>
      <c r="C133" s="5" t="s">
        <v>383</v>
      </c>
      <c r="D133" s="6" t="s">
        <v>384</v>
      </c>
      <c r="E133" s="7"/>
      <c r="F133" s="8"/>
      <c r="G133" s="9"/>
    </row>
    <row r="134" spans="1:7" ht="57.75" customHeight="1">
      <c r="A134" s="3" t="s">
        <v>385</v>
      </c>
      <c r="B134" s="4" t="s">
        <v>386</v>
      </c>
      <c r="C134" s="5" t="s">
        <v>387</v>
      </c>
      <c r="D134" s="6" t="s">
        <v>388</v>
      </c>
      <c r="E134" s="7"/>
      <c r="F134" s="8"/>
      <c r="G134" s="9"/>
    </row>
    <row r="135" spans="1:7" ht="57.75" customHeight="1">
      <c r="A135" s="3" t="s">
        <v>389</v>
      </c>
      <c r="B135" s="4" t="s">
        <v>390</v>
      </c>
      <c r="C135" s="5" t="s">
        <v>391</v>
      </c>
      <c r="D135" s="6" t="s">
        <v>392</v>
      </c>
      <c r="E135" s="7"/>
      <c r="F135" s="8"/>
      <c r="G135" s="9"/>
    </row>
    <row r="136" spans="1:7" ht="57.75" customHeight="1">
      <c r="A136" s="3" t="s">
        <v>393</v>
      </c>
      <c r="B136" s="4" t="s">
        <v>394</v>
      </c>
      <c r="C136" s="5" t="s">
        <v>395</v>
      </c>
      <c r="D136" s="6" t="s">
        <v>396</v>
      </c>
      <c r="E136" s="7"/>
      <c r="F136" s="8"/>
      <c r="G136" s="9"/>
    </row>
    <row r="137" spans="1:7" ht="21.75" customHeight="1">
      <c r="A137" s="32" t="s">
        <v>397</v>
      </c>
      <c r="B137" s="32"/>
      <c r="C137" s="32"/>
      <c r="D137" s="32"/>
      <c r="E137" s="10">
        <f>IFERROR(ROUND(AVERAGEIF(E127:E136,"&gt;0")*20,0),0)</f>
        <v>0</v>
      </c>
      <c r="F137" s="33" t="str">
        <f>IF($E$137=0,"—",IF($E$137&lt;=20,"Absent",IF($E$137&lt;=40,"Emerging",IF($E$137&lt;=60,"Established",IF($E$137&lt;=80,"Integrated","Best-in-class")))))</f>
        <v>—</v>
      </c>
      <c r="G137" s="33"/>
    </row>
    <row r="139" spans="1:7" ht="24" customHeight="1">
      <c r="A139" s="30" t="s">
        <v>398</v>
      </c>
      <c r="B139" s="30"/>
      <c r="C139" s="30"/>
      <c r="D139" s="30"/>
      <c r="E139" s="30"/>
      <c r="F139" s="30"/>
      <c r="G139" s="30"/>
    </row>
    <row r="140" spans="1:7" ht="30" customHeight="1">
      <c r="A140" s="31" t="s">
        <v>399</v>
      </c>
      <c r="B140" s="31"/>
      <c r="C140" s="31"/>
      <c r="D140" s="31"/>
      <c r="E140" s="31"/>
      <c r="F140" s="31"/>
      <c r="G140" s="31"/>
    </row>
    <row r="141" spans="1:7" ht="25.5" customHeight="1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10</v>
      </c>
      <c r="F141" s="2" t="s">
        <v>11</v>
      </c>
      <c r="G141" s="2" t="s">
        <v>12</v>
      </c>
    </row>
    <row r="142" spans="1:7" ht="57.75" customHeight="1">
      <c r="A142" s="3" t="s">
        <v>400</v>
      </c>
      <c r="B142" s="4" t="s">
        <v>401</v>
      </c>
      <c r="C142" s="5" t="s">
        <v>402</v>
      </c>
      <c r="D142" s="6" t="s">
        <v>403</v>
      </c>
      <c r="E142" s="7"/>
      <c r="F142" s="8"/>
      <c r="G142" s="9"/>
    </row>
    <row r="143" spans="1:7" ht="57.75" customHeight="1">
      <c r="A143" s="3" t="s">
        <v>404</v>
      </c>
      <c r="B143" s="4" t="s">
        <v>405</v>
      </c>
      <c r="C143" s="5" t="s">
        <v>406</v>
      </c>
      <c r="D143" s="6" t="s">
        <v>407</v>
      </c>
      <c r="E143" s="7"/>
      <c r="F143" s="8"/>
      <c r="G143" s="9"/>
    </row>
    <row r="144" spans="1:7" ht="57.75" customHeight="1">
      <c r="A144" s="3" t="s">
        <v>408</v>
      </c>
      <c r="B144" s="4" t="s">
        <v>409</v>
      </c>
      <c r="C144" s="5" t="s">
        <v>410</v>
      </c>
      <c r="D144" s="6" t="s">
        <v>411</v>
      </c>
      <c r="E144" s="7"/>
      <c r="F144" s="8"/>
      <c r="G144" s="9"/>
    </row>
    <row r="145" spans="1:7" ht="57.75" customHeight="1">
      <c r="A145" s="3" t="s">
        <v>412</v>
      </c>
      <c r="B145" s="4" t="s">
        <v>413</v>
      </c>
      <c r="C145" s="5" t="s">
        <v>414</v>
      </c>
      <c r="D145" s="6" t="s">
        <v>415</v>
      </c>
      <c r="E145" s="7"/>
      <c r="F145" s="8"/>
      <c r="G145" s="9"/>
    </row>
    <row r="146" spans="1:7" ht="57.75" customHeight="1">
      <c r="A146" s="3" t="s">
        <v>416</v>
      </c>
      <c r="B146" s="4" t="s">
        <v>417</v>
      </c>
      <c r="C146" s="5" t="s">
        <v>418</v>
      </c>
      <c r="D146" s="6" t="s">
        <v>419</v>
      </c>
      <c r="E146" s="7"/>
      <c r="F146" s="8"/>
      <c r="G146" s="9"/>
    </row>
    <row r="147" spans="1:7" ht="57.75" customHeight="1">
      <c r="A147" s="3" t="s">
        <v>420</v>
      </c>
      <c r="B147" s="4" t="s">
        <v>421</v>
      </c>
      <c r="C147" s="5" t="s">
        <v>422</v>
      </c>
      <c r="D147" s="6" t="s">
        <v>423</v>
      </c>
      <c r="E147" s="7"/>
      <c r="F147" s="8"/>
      <c r="G147" s="9"/>
    </row>
    <row r="148" spans="1:7" ht="57.75" customHeight="1">
      <c r="A148" s="3" t="s">
        <v>424</v>
      </c>
      <c r="B148" s="4" t="s">
        <v>425</v>
      </c>
      <c r="C148" s="5" t="s">
        <v>426</v>
      </c>
      <c r="D148" s="6" t="s">
        <v>427</v>
      </c>
      <c r="E148" s="7"/>
      <c r="F148" s="8"/>
      <c r="G148" s="9"/>
    </row>
    <row r="149" spans="1:7" ht="57.75" customHeight="1">
      <c r="A149" s="3" t="s">
        <v>428</v>
      </c>
      <c r="B149" s="4" t="s">
        <v>429</v>
      </c>
      <c r="C149" s="5" t="s">
        <v>430</v>
      </c>
      <c r="D149" s="6" t="s">
        <v>431</v>
      </c>
      <c r="E149" s="7"/>
      <c r="F149" s="8"/>
      <c r="G149" s="9"/>
    </row>
    <row r="150" spans="1:7" ht="57.75" customHeight="1">
      <c r="A150" s="3" t="s">
        <v>432</v>
      </c>
      <c r="B150" s="4" t="s">
        <v>433</v>
      </c>
      <c r="C150" s="5" t="s">
        <v>434</v>
      </c>
      <c r="D150" s="6" t="s">
        <v>435</v>
      </c>
      <c r="E150" s="7"/>
      <c r="F150" s="8"/>
      <c r="G150" s="9"/>
    </row>
    <row r="151" spans="1:7" ht="57.75" customHeight="1">
      <c r="A151" s="3" t="s">
        <v>436</v>
      </c>
      <c r="B151" s="4" t="s">
        <v>437</v>
      </c>
      <c r="C151" s="5" t="s">
        <v>438</v>
      </c>
      <c r="D151" s="6" t="s">
        <v>439</v>
      </c>
      <c r="E151" s="7"/>
      <c r="F151" s="8"/>
      <c r="G151" s="9"/>
    </row>
    <row r="152" spans="1:7" ht="21.75" customHeight="1">
      <c r="A152" s="32" t="s">
        <v>440</v>
      </c>
      <c r="B152" s="32"/>
      <c r="C152" s="32"/>
      <c r="D152" s="32"/>
      <c r="E152" s="10">
        <f>IFERROR(ROUND(AVERAGEIF(E142:E151,"&gt;0")*20,0),0)</f>
        <v>0</v>
      </c>
      <c r="F152" s="33" t="str">
        <f>IF($E$152=0,"—",IF($E$152&lt;=20,"Absent",IF($E$152&lt;=40,"Emerging",IF($E$152&lt;=60,"Established",IF($E$152&lt;=80,"Integrated","Best-in-class")))))</f>
        <v>—</v>
      </c>
      <c r="G152" s="33"/>
    </row>
  </sheetData>
  <mergeCells count="41">
    <mergeCell ref="A1:G1"/>
    <mergeCell ref="A4:G4"/>
    <mergeCell ref="A5:G5"/>
    <mergeCell ref="A17:D17"/>
    <mergeCell ref="F17:G17"/>
    <mergeCell ref="A19:G19"/>
    <mergeCell ref="A20:G20"/>
    <mergeCell ref="A32:D32"/>
    <mergeCell ref="F32:G32"/>
    <mergeCell ref="A34:G34"/>
    <mergeCell ref="A35:G35"/>
    <mergeCell ref="A47:D47"/>
    <mergeCell ref="F47:G47"/>
    <mergeCell ref="A49:G49"/>
    <mergeCell ref="A50:G50"/>
    <mergeCell ref="A62:D62"/>
    <mergeCell ref="F62:G62"/>
    <mergeCell ref="A64:G64"/>
    <mergeCell ref="A65:G65"/>
    <mergeCell ref="A77:D77"/>
    <mergeCell ref="F77:G77"/>
    <mergeCell ref="A79:G79"/>
    <mergeCell ref="A80:G80"/>
    <mergeCell ref="A92:D92"/>
    <mergeCell ref="F92:G92"/>
    <mergeCell ref="A94:G94"/>
    <mergeCell ref="A95:G95"/>
    <mergeCell ref="A107:D107"/>
    <mergeCell ref="F107:G107"/>
    <mergeCell ref="A109:G109"/>
    <mergeCell ref="A110:G110"/>
    <mergeCell ref="A139:G139"/>
    <mergeCell ref="A140:G140"/>
    <mergeCell ref="A152:D152"/>
    <mergeCell ref="F152:G152"/>
    <mergeCell ref="A122:D122"/>
    <mergeCell ref="F122:G122"/>
    <mergeCell ref="A124:G124"/>
    <mergeCell ref="A125:G125"/>
    <mergeCell ref="A137:D137"/>
    <mergeCell ref="F137:G137"/>
  </mergeCells>
  <dataValidations count="2">
    <dataValidation type="list" allowBlank="1" errorTitle="Invalid score" error="Enter 0 (N/A) or 1–5" sqref="E7:E16 E22:E31 E37:E46 E52:E61 E67:E76 E82:E91 E97:E106 E112:E121 E127:E136 E142:E151" xr:uid="{00000000-0002-0000-0100-000000000000}">
      <formula1>"0,1,2,3,4,5"</formula1>
      <formula2>0</formula2>
    </dataValidation>
    <dataValidation type="list" allowBlank="1" sqref="F7:F16 F22:F31 F37:F46 F52:F61 F67:F76 F82:F91 F97:F106 F112:F121 F127:F136 F142:F151" xr:uid="{00000000-0002-0000-0100-000001000000}">
      <formula1>"Document,Observation,Data/Record,Interview,Multiple"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3"/>
  <sheetViews>
    <sheetView showGridLines="0" zoomScaleNormal="100" workbookViewId="0"/>
  </sheetViews>
  <sheetFormatPr defaultColWidth="8.7109375" defaultRowHeight="15"/>
  <cols>
    <col min="1" max="1" width="4" customWidth="1"/>
    <col min="2" max="2" width="34" customWidth="1"/>
    <col min="3" max="3" width="12" customWidth="1"/>
    <col min="4" max="5" width="16" customWidth="1"/>
    <col min="6" max="6" width="40" customWidth="1"/>
  </cols>
  <sheetData>
    <row r="2" spans="1:6" ht="26.25">
      <c r="B2" s="36" t="s">
        <v>441</v>
      </c>
      <c r="C2" s="36"/>
      <c r="D2" s="36"/>
      <c r="E2" s="36"/>
      <c r="F2" s="36"/>
    </row>
    <row r="4" spans="1:6">
      <c r="A4" s="11" t="s">
        <v>442</v>
      </c>
      <c r="B4" s="11" t="s">
        <v>443</v>
      </c>
      <c r="C4" s="11" t="s">
        <v>10</v>
      </c>
      <c r="D4" s="11" t="s">
        <v>444</v>
      </c>
      <c r="E4" s="11" t="s">
        <v>445</v>
      </c>
      <c r="F4" s="11" t="s">
        <v>446</v>
      </c>
    </row>
    <row r="5" spans="1:6">
      <c r="A5" s="3">
        <v>1</v>
      </c>
      <c r="B5" s="12" t="s">
        <v>447</v>
      </c>
      <c r="C5" s="13">
        <f>Assessment!E17</f>
        <v>0</v>
      </c>
      <c r="D5" s="14" t="str">
        <f t="shared" ref="D5:D15" si="0">IF(C5=0,"—",IF(C5&lt;=20,"Absent",IF(C5&lt;=40,"Emerging",IF(C5&lt;=60,"Established",IF(C5&lt;=80,"Integrated","Best-in-class")))))</f>
        <v>—</v>
      </c>
      <c r="E5" s="15">
        <f t="shared" ref="E5:E14" si="1">100-C5</f>
        <v>100</v>
      </c>
      <c r="F5" s="16"/>
    </row>
    <row r="6" spans="1:6">
      <c r="A6" s="3">
        <v>2</v>
      </c>
      <c r="B6" s="12" t="s">
        <v>448</v>
      </c>
      <c r="C6" s="13">
        <f>Assessment!E32</f>
        <v>0</v>
      </c>
      <c r="D6" s="14" t="str">
        <f t="shared" si="0"/>
        <v>—</v>
      </c>
      <c r="E6" s="15">
        <f t="shared" si="1"/>
        <v>100</v>
      </c>
      <c r="F6" s="16"/>
    </row>
    <row r="7" spans="1:6">
      <c r="A7" s="3">
        <v>3</v>
      </c>
      <c r="B7" s="12" t="s">
        <v>449</v>
      </c>
      <c r="C7" s="13">
        <f>Assessment!E47</f>
        <v>0</v>
      </c>
      <c r="D7" s="14" t="str">
        <f t="shared" si="0"/>
        <v>—</v>
      </c>
      <c r="E7" s="15">
        <f t="shared" si="1"/>
        <v>100</v>
      </c>
      <c r="F7" s="16"/>
    </row>
    <row r="8" spans="1:6" ht="25.5">
      <c r="A8" s="3">
        <v>4</v>
      </c>
      <c r="B8" s="12" t="s">
        <v>450</v>
      </c>
      <c r="C8" s="13">
        <f>Assessment!E62</f>
        <v>0</v>
      </c>
      <c r="D8" s="14" t="str">
        <f t="shared" si="0"/>
        <v>—</v>
      </c>
      <c r="E8" s="15">
        <f t="shared" si="1"/>
        <v>100</v>
      </c>
      <c r="F8" s="16"/>
    </row>
    <row r="9" spans="1:6">
      <c r="A9" s="3">
        <v>5</v>
      </c>
      <c r="B9" s="12" t="s">
        <v>451</v>
      </c>
      <c r="C9" s="13">
        <f>Assessment!E77</f>
        <v>0</v>
      </c>
      <c r="D9" s="14" t="str">
        <f t="shared" si="0"/>
        <v>—</v>
      </c>
      <c r="E9" s="15">
        <f t="shared" si="1"/>
        <v>100</v>
      </c>
      <c r="F9" s="16"/>
    </row>
    <row r="10" spans="1:6">
      <c r="A10" s="3">
        <v>6</v>
      </c>
      <c r="B10" s="12" t="s">
        <v>452</v>
      </c>
      <c r="C10" s="13">
        <f>Assessment!E92</f>
        <v>0</v>
      </c>
      <c r="D10" s="14" t="str">
        <f t="shared" si="0"/>
        <v>—</v>
      </c>
      <c r="E10" s="15">
        <f t="shared" si="1"/>
        <v>100</v>
      </c>
      <c r="F10" s="16"/>
    </row>
    <row r="11" spans="1:6">
      <c r="A11" s="3">
        <v>7</v>
      </c>
      <c r="B11" s="12" t="s">
        <v>453</v>
      </c>
      <c r="C11" s="13">
        <f>Assessment!E107</f>
        <v>0</v>
      </c>
      <c r="D11" s="14" t="str">
        <f t="shared" si="0"/>
        <v>—</v>
      </c>
      <c r="E11" s="15">
        <f t="shared" si="1"/>
        <v>100</v>
      </c>
      <c r="F11" s="16"/>
    </row>
    <row r="12" spans="1:6" ht="25.5">
      <c r="A12" s="3">
        <v>8</v>
      </c>
      <c r="B12" s="12" t="s">
        <v>454</v>
      </c>
      <c r="C12" s="13">
        <f>Assessment!E122</f>
        <v>0</v>
      </c>
      <c r="D12" s="14" t="str">
        <f t="shared" si="0"/>
        <v>—</v>
      </c>
      <c r="E12" s="15">
        <f t="shared" si="1"/>
        <v>100</v>
      </c>
      <c r="F12" s="16"/>
    </row>
    <row r="13" spans="1:6">
      <c r="A13" s="3">
        <v>9</v>
      </c>
      <c r="B13" s="12" t="s">
        <v>455</v>
      </c>
      <c r="C13" s="13">
        <f>Assessment!E137</f>
        <v>0</v>
      </c>
      <c r="D13" s="14" t="str">
        <f t="shared" si="0"/>
        <v>—</v>
      </c>
      <c r="E13" s="15">
        <f t="shared" si="1"/>
        <v>100</v>
      </c>
      <c r="F13" s="16"/>
    </row>
    <row r="14" spans="1:6">
      <c r="A14" s="3">
        <v>10</v>
      </c>
      <c r="B14" s="12" t="s">
        <v>456</v>
      </c>
      <c r="C14" s="13">
        <f>Assessment!E152</f>
        <v>0</v>
      </c>
      <c r="D14" s="14" t="str">
        <f t="shared" si="0"/>
        <v>—</v>
      </c>
      <c r="E14" s="15">
        <f t="shared" si="1"/>
        <v>100</v>
      </c>
      <c r="F14" s="16"/>
    </row>
    <row r="15" spans="1:6" ht="15.75">
      <c r="A15" s="35" t="s">
        <v>457</v>
      </c>
      <c r="B15" s="35"/>
      <c r="C15" s="10">
        <f>IFERROR(ROUND(AVERAGEIF(C5:C14,"&gt;0"),0),0)</f>
        <v>0</v>
      </c>
      <c r="D15" s="17" t="str">
        <f t="shared" si="0"/>
        <v>—</v>
      </c>
      <c r="E15" s="18"/>
      <c r="F15" s="18"/>
    </row>
    <row r="18" spans="2:3">
      <c r="B18" s="19" t="s">
        <v>458</v>
      </c>
    </row>
    <row r="19" spans="2:3">
      <c r="B19" s="20" t="s">
        <v>459</v>
      </c>
      <c r="C19" s="21" t="s">
        <v>460</v>
      </c>
    </row>
    <row r="20" spans="2:3">
      <c r="B20" s="22" t="s">
        <v>461</v>
      </c>
      <c r="C20" s="23" t="s">
        <v>462</v>
      </c>
    </row>
    <row r="21" spans="2:3">
      <c r="B21" s="24" t="s">
        <v>463</v>
      </c>
      <c r="C21" s="25" t="s">
        <v>464</v>
      </c>
    </row>
    <row r="22" spans="2:3">
      <c r="B22" s="26" t="s">
        <v>465</v>
      </c>
      <c r="C22" s="27" t="s">
        <v>466</v>
      </c>
    </row>
    <row r="23" spans="2:3">
      <c r="B23" s="28" t="s">
        <v>467</v>
      </c>
      <c r="C23" s="29" t="s">
        <v>468</v>
      </c>
    </row>
  </sheetData>
  <mergeCells count="2">
    <mergeCell ref="B2:F2"/>
    <mergeCell ref="A15:B15"/>
  </mergeCells>
  <conditionalFormatting sqref="C5:C14">
    <cfRule type="colorScale" priority="2">
      <colorScale>
        <cfvo type="num" val="0"/>
        <cfvo type="num" val="50"/>
        <cfvo type="num" val="100"/>
        <color rgb="FFB23A3A"/>
        <color rgb="FFC08A1E"/>
        <color rgb="FF2C7A3F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dd1e0b-5267-470b-acea-8e55b9f41d8e" xsi:nil="true"/>
    <lcf76f155ced4ddcb4097134ff3c332f xmlns="229e0a11-3848-49fd-8c6a-81e88ac0887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925EF3109D14BBF07652984DC743A" ma:contentTypeVersion="16" ma:contentTypeDescription="Create a new document." ma:contentTypeScope="" ma:versionID="c449a79e7449419c4943afc2a4b475d9">
  <xsd:schema xmlns:xsd="http://www.w3.org/2001/XMLSchema" xmlns:xs="http://www.w3.org/2001/XMLSchema" xmlns:p="http://schemas.microsoft.com/office/2006/metadata/properties" xmlns:ns2="229e0a11-3848-49fd-8c6a-81e88ac08879" xmlns:ns3="39dd1e0b-5267-470b-acea-8e55b9f41d8e" targetNamespace="http://schemas.microsoft.com/office/2006/metadata/properties" ma:root="true" ma:fieldsID="4b7ba7fa09a540e48e07747b7a6e6119" ns2:_="" ns3:_="">
    <xsd:import namespace="229e0a11-3848-49fd-8c6a-81e88ac08879"/>
    <xsd:import namespace="39dd1e0b-5267-470b-acea-8e55b9f41d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e0a11-3848-49fd-8c6a-81e88ac08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25a390ff-bb44-41ab-883e-bb6999e3d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d1e0b-5267-470b-acea-8e55b9f41d8e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7cd2ebdb-72a5-4439-aff3-15631ecda4b4}" ma:internalName="TaxCatchAll" ma:showField="CatchAllData" ma:web="39dd1e0b-5267-470b-acea-8e55b9f41d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C8997B-697F-492A-BEB1-4A87C6039FEF}"/>
</file>

<file path=customXml/itemProps2.xml><?xml version="1.0" encoding="utf-8"?>
<ds:datastoreItem xmlns:ds="http://schemas.openxmlformats.org/officeDocument/2006/customXml" ds:itemID="{B56C7D9B-F5FD-4990-84BB-AFB7C2107B79}"/>
</file>

<file path=customXml/itemProps3.xml><?xml version="1.0" encoding="utf-8"?>
<ds:datastoreItem xmlns:ds="http://schemas.openxmlformats.org/officeDocument/2006/customXml" ds:itemID="{95B0D70D-1D1C-470E-9975-E5D9D2038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2026-06-22T11:44:28Z</dcterms:created>
  <dcterms:modified xsi:type="dcterms:W3CDTF">2026-07-17T15:26:24Z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0x0101004FA925EF3109D14BBF07652984DC743A</vt:lpwstr>
  </property>
  <property fmtid="{D5CDD505-2E9C-101B-9397-08002B2CF9AE}" pid="3" name="MediaServiceImageTags">
    <vt:lpwstr/>
  </property>
</Properties>
</file>